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1950" windowHeight="11630" tabRatio="500" activeTab="3"/>
  </bookViews>
  <sheets>
    <sheet name="人物" sheetId="1" r:id="rId1"/>
    <sheet name="武备" sheetId="11" r:id="rId2"/>
    <sheet name="灵能" sheetId="14" r:id="rId3"/>
    <sheet name="数据导入" sheetId="4" r:id="rId4"/>
    <sheet name="灵能大全" sheetId="15" r:id="rId5"/>
    <sheet name="职业数据" sheetId="6" state="hidden" r:id="rId6"/>
    <sheet name="人物数据" sheetId="7" state="hidden" r:id="rId7"/>
  </sheets>
  <externalReferences>
    <externalReference r:id="rId8"/>
  </externalReferences>
  <definedNames>
    <definedName name="_xlnm._FilterDatabase" localSheetId="4" hidden="1">灵能大全!$B$2:$B$134</definedName>
    <definedName name="预言">灵能大全!$C$64:$I$73</definedName>
    <definedName name="次级灵能" localSheetId="4">灵能大全!$C$3:$I$50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<sst xmlns="http://schemas.openxmlformats.org/spreadsheetml/2006/main" count="1583" uniqueCount="780">
  <si>
    <t>玩家</t>
  </si>
  <si>
    <t>角色</t>
  </si>
  <si>
    <t>资金</t>
  </si>
  <si>
    <t>启用月工资</t>
  </si>
  <si>
    <t>合计</t>
  </si>
  <si>
    <t>出生</t>
  </si>
  <si>
    <t>生日</t>
  </si>
  <si>
    <t>月</t>
  </si>
  <si>
    <t>日</t>
  </si>
  <si>
    <t>行动经费</t>
  </si>
  <si>
    <t>已用</t>
  </si>
  <si>
    <t>职业</t>
  </si>
  <si>
    <t>等级</t>
  </si>
  <si>
    <t>经验</t>
  </si>
  <si>
    <t>持有</t>
  </si>
  <si>
    <t>其他收入</t>
  </si>
  <si>
    <t>剩余</t>
  </si>
  <si>
    <t>社会阶级</t>
  </si>
  <si>
    <t>月入</t>
  </si>
  <si>
    <t>提升</t>
  </si>
  <si>
    <t>起始资金</t>
  </si>
  <si>
    <t>工资总额</t>
  </si>
  <si>
    <t>预言</t>
  </si>
  <si>
    <t>出目</t>
  </si>
  <si>
    <t>状态</t>
  </si>
  <si>
    <t>身高</t>
  </si>
  <si>
    <t>虹膜</t>
  </si>
  <si>
    <t>整体
形象</t>
  </si>
  <si>
    <t>年龄</t>
  </si>
  <si>
    <t>发型</t>
  </si>
  <si>
    <t>属性情况</t>
  </si>
  <si>
    <t>基础</t>
  </si>
  <si>
    <t>超然</t>
  </si>
  <si>
    <t>备注</t>
  </si>
  <si>
    <t>加成</t>
  </si>
  <si>
    <t>训练</t>
  </si>
  <si>
    <r>
      <rPr>
        <sz val="9"/>
        <color rgb="FF000000"/>
        <rFont val="黑体"/>
        <charset val="134"/>
      </rPr>
      <t>消耗</t>
    </r>
    <r>
      <rPr>
        <sz val="9"/>
        <color rgb="FF000000"/>
        <rFont val="黑体"/>
        <charset val="134"/>
      </rPr>
      <t>XP</t>
    </r>
  </si>
  <si>
    <t>减值</t>
  </si>
  <si>
    <t>最终</t>
  </si>
  <si>
    <t>加值</t>
  </si>
  <si>
    <t>命
运
点</t>
  </si>
  <si>
    <t>失心</t>
  </si>
  <si>
    <t>堕落</t>
  </si>
  <si>
    <t>角色头像</t>
  </si>
  <si>
    <t>近战 WS</t>
  </si>
  <si>
    <t>远程 BS</t>
  </si>
  <si>
    <r>
      <rPr>
        <sz val="12"/>
        <color rgb="FFFFFFFF"/>
        <rFont val="黑体"/>
        <charset val="134"/>
      </rPr>
      <t xml:space="preserve">力量 </t>
    </r>
    <r>
      <rPr>
        <sz val="12"/>
        <color rgb="FFFFFFFF"/>
        <rFont val="黑体"/>
        <charset val="134"/>
      </rPr>
      <t>S</t>
    </r>
  </si>
  <si>
    <r>
      <rPr>
        <sz val="12"/>
        <color rgb="FFFFFFFF"/>
        <rFont val="黑体"/>
        <charset val="134"/>
      </rPr>
      <t xml:space="preserve">坚韧 </t>
    </r>
    <r>
      <rPr>
        <sz val="12"/>
        <color rgb="FFFFFFFF"/>
        <rFont val="黑体"/>
        <charset val="134"/>
      </rPr>
      <t>T</t>
    </r>
  </si>
  <si>
    <r>
      <rPr>
        <sz val="12"/>
        <color rgb="FFFFFFFF"/>
        <rFont val="黑体"/>
        <charset val="134"/>
      </rPr>
      <t xml:space="preserve">敏捷 </t>
    </r>
    <r>
      <rPr>
        <sz val="12"/>
        <color rgb="FFFFFFFF"/>
        <rFont val="黑体"/>
        <charset val="134"/>
      </rPr>
      <t>Ag</t>
    </r>
  </si>
  <si>
    <t>剩
余</t>
  </si>
  <si>
    <r>
      <rPr>
        <sz val="12"/>
        <color rgb="FFFFFFFF"/>
        <rFont val="黑体"/>
        <charset val="134"/>
      </rPr>
      <t xml:space="preserve">智力 </t>
    </r>
    <r>
      <rPr>
        <sz val="12"/>
        <color rgb="FFFFFFFF"/>
        <rFont val="黑体"/>
        <charset val="134"/>
      </rPr>
      <t>Int</t>
    </r>
  </si>
  <si>
    <r>
      <rPr>
        <sz val="12"/>
        <color rgb="FFFFFFFF"/>
        <rFont val="黑体"/>
        <charset val="134"/>
      </rPr>
      <t xml:space="preserve">感知 </t>
    </r>
    <r>
      <rPr>
        <sz val="12"/>
        <color rgb="FFFFFFFF"/>
        <rFont val="黑体"/>
        <charset val="134"/>
      </rPr>
      <t>Per</t>
    </r>
  </si>
  <si>
    <r>
      <rPr>
        <sz val="12"/>
        <color rgb="FFFFFFFF"/>
        <rFont val="黑体"/>
        <charset val="134"/>
      </rPr>
      <t xml:space="preserve">意志 </t>
    </r>
    <r>
      <rPr>
        <sz val="12"/>
        <color rgb="FFFFFFFF"/>
        <rFont val="黑体"/>
        <charset val="134"/>
      </rPr>
      <t>WP</t>
    </r>
  </si>
  <si>
    <r>
      <rPr>
        <sz val="12"/>
        <color rgb="FFFFFFFF"/>
        <rFont val="黑体"/>
        <charset val="134"/>
      </rPr>
      <t xml:space="preserve">交际 </t>
    </r>
    <r>
      <rPr>
        <sz val="12"/>
        <color rgb="FFFFFFFF"/>
        <rFont val="黑体"/>
        <charset val="134"/>
      </rPr>
      <t>Fel</t>
    </r>
  </si>
  <si>
    <t>移动</t>
  </si>
  <si>
    <t>部分</t>
  </si>
  <si>
    <t>完整</t>
  </si>
  <si>
    <t>冲锋</t>
  </si>
  <si>
    <t>奔跑</t>
  </si>
  <si>
    <t>每分钟</t>
  </si>
  <si>
    <t>每小时</t>
  </si>
  <si>
    <t>每天</t>
  </si>
  <si>
    <t>负重上限</t>
  </si>
  <si>
    <t>当前负重</t>
  </si>
  <si>
    <t>徒步</t>
  </si>
  <si>
    <t>—</t>
  </si>
  <si>
    <t>参考值</t>
  </si>
  <si>
    <t>SB+TB</t>
  </si>
  <si>
    <t>举起</t>
  </si>
  <si>
    <t>拖拽</t>
  </si>
  <si>
    <t>飞跑</t>
  </si>
  <si>
    <t>——</t>
  </si>
  <si>
    <t>先攻</t>
  </si>
  <si>
    <t>谨小慎微</t>
  </si>
  <si>
    <t>闪电反射</t>
  </si>
  <si>
    <t>巢都出身</t>
  </si>
  <si>
    <t>其他</t>
  </si>
  <si>
    <t>进阶情况</t>
  </si>
  <si>
    <t>否</t>
  </si>
  <si>
    <t>暂无</t>
  </si>
  <si>
    <t>Rank</t>
  </si>
  <si>
    <t>属性</t>
  </si>
  <si>
    <t>技能</t>
  </si>
  <si>
    <t>天赋</t>
  </si>
  <si>
    <t>经验开销（手动）</t>
  </si>
  <si>
    <t>基础技能</t>
  </si>
  <si>
    <t>名称</t>
  </si>
  <si>
    <t>受训</t>
  </si>
  <si>
    <t>+10</t>
  </si>
  <si>
    <t>+20</t>
  </si>
  <si>
    <t>数值</t>
  </si>
  <si>
    <t>其他加成情况</t>
  </si>
  <si>
    <t>花费</t>
  </si>
  <si>
    <r>
      <rPr>
        <sz val="12"/>
        <rFont val="黑体"/>
        <charset val="134"/>
      </rPr>
      <t>威胁</t>
    </r>
    <r>
      <rPr>
        <sz val="12"/>
        <rFont val="黑体"/>
        <charset val="134"/>
      </rPr>
      <t>/</t>
    </r>
    <r>
      <rPr>
        <sz val="12"/>
        <rFont val="黑体"/>
        <charset val="134"/>
      </rPr>
      <t>恐吓</t>
    </r>
  </si>
  <si>
    <t>S</t>
  </si>
  <si>
    <r>
      <rPr>
        <sz val="12"/>
        <rFont val="黑体"/>
        <charset val="134"/>
      </rPr>
      <t>攀爬</t>
    </r>
    <r>
      <rPr>
        <sz val="12"/>
        <rFont val="黑体"/>
        <charset val="134"/>
      </rPr>
      <t>/</t>
    </r>
    <r>
      <rPr>
        <sz val="12"/>
        <rFont val="黑体"/>
        <charset val="134"/>
      </rPr>
      <t>运动</t>
    </r>
  </si>
  <si>
    <t>游泳</t>
  </si>
  <si>
    <r>
      <rPr>
        <sz val="12"/>
        <rFont val="黑体"/>
        <charset val="134"/>
      </rPr>
      <t>酗酒</t>
    </r>
    <r>
      <rPr>
        <sz val="12"/>
        <rFont val="黑体"/>
        <charset val="134"/>
      </rPr>
      <t>/</t>
    </r>
    <r>
      <rPr>
        <sz val="12"/>
        <rFont val="黑体"/>
        <charset val="134"/>
      </rPr>
      <t>狂欢</t>
    </r>
  </si>
  <si>
    <t>T</t>
  </si>
  <si>
    <t>躲藏</t>
  </si>
  <si>
    <t>AG</t>
  </si>
  <si>
    <t>闪避</t>
  </si>
  <si>
    <t>潜行</t>
  </si>
  <si>
    <t>估价</t>
  </si>
  <si>
    <t>INT</t>
  </si>
  <si>
    <t>逻辑</t>
  </si>
  <si>
    <t>赌博</t>
  </si>
  <si>
    <t>警觉</t>
  </si>
  <si>
    <t>PER</t>
  </si>
  <si>
    <r>
      <rPr>
        <sz val="12"/>
        <color rgb="FF000000"/>
        <rFont val="黑体"/>
        <charset val="134"/>
      </rPr>
      <t>搜查</t>
    </r>
    <r>
      <rPr>
        <sz val="12"/>
        <color rgb="FF000000"/>
        <rFont val="黑体"/>
        <charset val="134"/>
      </rPr>
      <t>/</t>
    </r>
    <r>
      <rPr>
        <sz val="12"/>
        <color rgb="FF000000"/>
        <rFont val="黑体"/>
        <charset val="134"/>
      </rPr>
      <t>搜索</t>
    </r>
  </si>
  <si>
    <t>察言观色</t>
  </si>
  <si>
    <t>交易</t>
  </si>
  <si>
    <t>FEL</t>
  </si>
  <si>
    <t>武器训练</t>
  </si>
  <si>
    <t>欺诈</t>
  </si>
  <si>
    <t>搜集信息</t>
  </si>
  <si>
    <t>格斗</t>
  </si>
  <si>
    <t>伪装</t>
  </si>
  <si>
    <t>手枪</t>
  </si>
  <si>
    <t>吸引</t>
  </si>
  <si>
    <t>重型</t>
  </si>
  <si>
    <t>扯淡</t>
  </si>
  <si>
    <t>特种</t>
  </si>
  <si>
    <t>指挥</t>
  </si>
  <si>
    <t>承伤和防护情况（简）</t>
  </si>
  <si>
    <t>致命伤情况</t>
  </si>
  <si>
    <t>承伤</t>
  </si>
  <si>
    <t>最终承伤</t>
  </si>
  <si>
    <r>
      <rPr>
        <sz val="11"/>
        <color rgb="FF000000"/>
        <rFont val="黑体"/>
        <charset val="134"/>
      </rPr>
      <t xml:space="preserve">头部 </t>
    </r>
    <r>
      <rPr>
        <sz val="11"/>
        <color rgb="FF000000"/>
        <rFont val="黑体"/>
        <charset val="134"/>
      </rPr>
      <t>0-1</t>
    </r>
  </si>
  <si>
    <r>
      <rPr>
        <sz val="11"/>
        <color rgb="FF000000"/>
        <rFont val="黑体"/>
        <charset val="134"/>
      </rPr>
      <t xml:space="preserve">躯干 </t>
    </r>
    <r>
      <rPr>
        <sz val="11"/>
        <color rgb="FF000000"/>
        <rFont val="黑体"/>
        <charset val="134"/>
      </rPr>
      <t>31-70</t>
    </r>
  </si>
  <si>
    <t>装备数值</t>
  </si>
  <si>
    <r>
      <rPr>
        <sz val="12"/>
        <color rgb="FF000000"/>
        <rFont val="黑体"/>
        <charset val="134"/>
      </rPr>
      <t xml:space="preserve">头部
</t>
    </r>
    <r>
      <rPr>
        <sz val="12"/>
        <color rgb="FF000000"/>
        <rFont val="黑体"/>
        <charset val="134"/>
      </rPr>
      <t>0-1</t>
    </r>
  </si>
  <si>
    <r>
      <rPr>
        <sz val="12"/>
        <color rgb="FF000000"/>
        <rFont val="黑体"/>
        <charset val="134"/>
      </rPr>
      <t xml:space="preserve">右臂
</t>
    </r>
    <r>
      <rPr>
        <sz val="12"/>
        <color rgb="FF000000"/>
        <rFont val="黑体"/>
        <charset val="134"/>
      </rPr>
      <t>11-20</t>
    </r>
  </si>
  <si>
    <r>
      <rPr>
        <sz val="12"/>
        <color rgb="FF000000"/>
        <rFont val="黑体"/>
        <charset val="134"/>
      </rPr>
      <t xml:space="preserve">左臂
</t>
    </r>
    <r>
      <rPr>
        <sz val="12"/>
        <color rgb="FF000000"/>
        <rFont val="黑体"/>
        <charset val="134"/>
      </rPr>
      <t>21-30</t>
    </r>
  </si>
  <si>
    <r>
      <rPr>
        <sz val="12"/>
        <color rgb="FF000000"/>
        <rFont val="黑体"/>
        <charset val="134"/>
      </rPr>
      <t xml:space="preserve">躯干
</t>
    </r>
    <r>
      <rPr>
        <sz val="12"/>
        <color rgb="FF000000"/>
        <rFont val="黑体"/>
        <charset val="134"/>
      </rPr>
      <t>31-70</t>
    </r>
  </si>
  <si>
    <r>
      <rPr>
        <sz val="12"/>
        <color rgb="FF000000"/>
        <rFont val="黑体"/>
        <charset val="134"/>
      </rPr>
      <t xml:space="preserve">右腿
</t>
    </r>
    <r>
      <rPr>
        <sz val="12"/>
        <color rgb="FF000000"/>
        <rFont val="黑体"/>
        <charset val="134"/>
      </rPr>
      <t>71-85</t>
    </r>
  </si>
  <si>
    <r>
      <rPr>
        <sz val="12"/>
        <color rgb="FF000000"/>
        <rFont val="黑体"/>
        <charset val="134"/>
      </rPr>
      <t xml:space="preserve">左腿
</t>
    </r>
    <r>
      <rPr>
        <sz val="12"/>
        <color rgb="FF000000"/>
        <rFont val="黑体"/>
        <charset val="134"/>
      </rPr>
      <t>86-00</t>
    </r>
  </si>
  <si>
    <t>血肉苦弱</t>
  </si>
  <si>
    <r>
      <rPr>
        <sz val="11"/>
        <color rgb="FF000000"/>
        <rFont val="黑体"/>
        <charset val="134"/>
      </rPr>
      <t xml:space="preserve">右手 </t>
    </r>
    <r>
      <rPr>
        <sz val="11"/>
        <color rgb="FF000000"/>
        <rFont val="黑体"/>
        <charset val="134"/>
      </rPr>
      <t>11-20</t>
    </r>
  </si>
  <si>
    <r>
      <rPr>
        <sz val="11"/>
        <color rgb="FF000000"/>
        <rFont val="黑体"/>
        <charset val="134"/>
      </rPr>
      <t xml:space="preserve">左手 </t>
    </r>
    <r>
      <rPr>
        <sz val="11"/>
        <color rgb="FF000000"/>
        <rFont val="黑体"/>
        <charset val="134"/>
      </rPr>
      <t>21-30</t>
    </r>
  </si>
  <si>
    <t>额外护甲</t>
  </si>
  <si>
    <t>特殊护甲</t>
  </si>
  <si>
    <t>无</t>
  </si>
  <si>
    <r>
      <rPr>
        <sz val="11"/>
        <color rgb="FF000000"/>
        <rFont val="黑体"/>
        <charset val="134"/>
      </rPr>
      <t xml:space="preserve">左腿 </t>
    </r>
    <r>
      <rPr>
        <sz val="11"/>
        <color rgb="FF000000"/>
        <rFont val="黑体"/>
        <charset val="134"/>
      </rPr>
      <t>86-00</t>
    </r>
  </si>
  <si>
    <r>
      <rPr>
        <sz val="11"/>
        <color rgb="FF000000"/>
        <rFont val="黑体"/>
        <charset val="134"/>
      </rPr>
      <t xml:space="preserve">左腿 </t>
    </r>
    <r>
      <rPr>
        <sz val="11"/>
        <color rgb="FF000000"/>
        <rFont val="黑体"/>
        <charset val="134"/>
      </rPr>
      <t>71-85</t>
    </r>
  </si>
  <si>
    <t>额外坚韧</t>
  </si>
  <si>
    <t>坚韧加值</t>
  </si>
  <si>
    <t>防护立场（简）</t>
  </si>
  <si>
    <t>影响力天赋</t>
  </si>
  <si>
    <t>防护类型</t>
  </si>
  <si>
    <t>减伤数值</t>
  </si>
  <si>
    <t>完全失效</t>
  </si>
  <si>
    <t>过载</t>
  </si>
  <si>
    <r>
      <rPr>
        <sz val="12"/>
        <color rgb="FF000000"/>
        <rFont val="黑体"/>
        <charset val="134"/>
      </rPr>
      <t>持续时间</t>
    </r>
    <r>
      <rPr>
        <sz val="12"/>
        <color rgb="FF000000"/>
        <rFont val="黑体"/>
        <charset val="134"/>
      </rPr>
      <t>/</t>
    </r>
    <r>
      <rPr>
        <sz val="12"/>
        <color rgb="FF000000"/>
        <rFont val="黑体"/>
        <charset val="134"/>
      </rPr>
      <t>充能</t>
    </r>
  </si>
  <si>
    <t>平等待遇</t>
  </si>
  <si>
    <t>有口皆碑</t>
  </si>
  <si>
    <t>对手</t>
  </si>
  <si>
    <t>不共戴天</t>
  </si>
  <si>
    <t>高级技能</t>
  </si>
  <si>
    <t>详细情况</t>
  </si>
  <si>
    <t>出身</t>
  </si>
  <si>
    <t>-</t>
  </si>
  <si>
    <t>背景包</t>
  </si>
  <si>
    <t>转职/培训</t>
  </si>
  <si>
    <t>出 身 特 性</t>
  </si>
  <si>
    <t>描述</t>
  </si>
  <si>
    <t>其 余 特 性</t>
  </si>
  <si>
    <t>天 赋 记 录</t>
  </si>
  <si>
    <t>开局内容</t>
  </si>
  <si>
    <t>具体</t>
  </si>
  <si>
    <t>R1</t>
  </si>
  <si>
    <t>R2</t>
  </si>
  <si>
    <t>R3</t>
  </si>
  <si>
    <t>R4</t>
  </si>
  <si>
    <t>R5</t>
  </si>
  <si>
    <t>角色背景</t>
  </si>
  <si>
    <t>近 战 武 器</t>
  </si>
  <si>
    <t>武器名称/类型</t>
  </si>
  <si>
    <t>类型</t>
  </si>
  <si>
    <t>伤害</t>
  </si>
  <si>
    <t>破甲</t>
  </si>
  <si>
    <t>特性</t>
  </si>
  <si>
    <t>重量</t>
  </si>
  <si>
    <t>WS</t>
  </si>
  <si>
    <t>武器升级</t>
  </si>
  <si>
    <t>相关天赋</t>
  </si>
  <si>
    <t>远 程 武 器</t>
  </si>
  <si>
    <t>射程</t>
  </si>
  <si>
    <t>射速</t>
  </si>
  <si>
    <t>BS</t>
  </si>
  <si>
    <t>弹药</t>
  </si>
  <si>
    <t>装填</t>
  </si>
  <si>
    <t>弹 药 和 榴 弹 等</t>
  </si>
  <si>
    <t>弹夹</t>
  </si>
  <si>
    <t>立 场</t>
  </si>
  <si>
    <t>具体效果</t>
  </si>
  <si>
    <t>护 甲 与 装 备</t>
  </si>
  <si>
    <t>物 品</t>
  </si>
  <si>
    <t>基重</t>
  </si>
  <si>
    <t>数量</t>
  </si>
  <si>
    <t>背包</t>
  </si>
  <si>
    <t>同伴</t>
  </si>
  <si>
    <t>种类/型号</t>
  </si>
  <si>
    <t>格斗 WS</t>
  </si>
  <si>
    <t>名字/绰号</t>
  </si>
  <si>
    <t>射击 BS</t>
  </si>
  <si>
    <t>力量 S</t>
  </si>
  <si>
    <t>伙伴样貌</t>
  </si>
  <si>
    <t>坚韧 T</t>
  </si>
  <si>
    <t>敏捷 Ag</t>
  </si>
  <si>
    <t>智力 Int</t>
  </si>
  <si>
    <t>感知 Per</t>
  </si>
  <si>
    <t>意志 WP</t>
  </si>
  <si>
    <t>交际 Fel</t>
  </si>
  <si>
    <t>护甲</t>
  </si>
  <si>
    <t>装备</t>
  </si>
  <si>
    <t>详情</t>
  </si>
  <si>
    <t>杂物</t>
  </si>
  <si>
    <t>记账</t>
  </si>
  <si>
    <t>总账：</t>
  </si>
  <si>
    <t>持有情况</t>
  </si>
  <si>
    <t>灵能相关速查</t>
  </si>
  <si>
    <t>施法聚焦</t>
  </si>
  <si>
    <t>类别</t>
  </si>
  <si>
    <t>次级</t>
  </si>
  <si>
    <t>生化</t>
  </si>
  <si>
    <t>操火</t>
  </si>
  <si>
    <t>遥感</t>
  </si>
  <si>
    <t>传心</t>
  </si>
  <si>
    <t>巫术</t>
  </si>
  <si>
    <t>优异灵能</t>
  </si>
  <si>
    <t>灵能等级</t>
  </si>
  <si>
    <t>房规加成</t>
  </si>
  <si>
    <t>DH施法</t>
  </si>
  <si>
    <t>束缚</t>
  </si>
  <si>
    <t>自由</t>
  </si>
  <si>
    <t>引导</t>
  </si>
  <si>
    <t>精通</t>
  </si>
  <si>
    <t>专注/法器</t>
  </si>
  <si>
    <t>灵能感应</t>
  </si>
  <si>
    <t>WP</t>
  </si>
  <si>
    <t>WB</t>
  </si>
  <si>
    <t>专攻</t>
  </si>
  <si>
    <t>RT施法</t>
  </si>
  <si>
    <t>额外</t>
  </si>
  <si>
    <t>其他天赋</t>
  </si>
  <si>
    <t>共计</t>
  </si>
  <si>
    <t>↓搜索框</t>
  </si>
  <si>
    <t>灵能类别</t>
  </si>
  <si>
    <t>灵能名称</t>
  </si>
  <si>
    <t>Ps：可以在灵能大全表最末自己手动添加房规灵能，会自动同步</t>
  </si>
  <si>
    <t>灵 能 详 情</t>
  </si>
  <si>
    <t>阈值</t>
  </si>
  <si>
    <t>聚焦</t>
  </si>
  <si>
    <t>维持</t>
  </si>
  <si>
    <t>范围</t>
  </si>
  <si>
    <t>超量释放</t>
  </si>
  <si>
    <t>次 级 灵 能</t>
  </si>
  <si>
    <t>次级灵能</t>
  </si>
  <si>
    <t>次级秘仪</t>
  </si>
  <si>
    <t>学 科 灵 能</t>
  </si>
  <si>
    <t>其 他 灵 能</t>
  </si>
  <si>
    <t>角色卡导入（泛用）</t>
  </si>
  <si>
    <t>表格制作者</t>
  </si>
  <si>
    <t>右键下格，点击“复制”，并在下方的TXT栏“粘贴”就可以导出文本，然后再选中文本，复制到最上方显示框，然后再剪切进QQ可以避免黏贴的是图片的问题。
也可以直接复制下格，复制进一个TXT文本。</t>
  </si>
  <si>
    <t>排名不分先后</t>
  </si>
  <si>
    <t>勒</t>
  </si>
  <si>
    <t>迮越</t>
  </si>
  <si>
    <t>晨星</t>
  </si>
  <si>
    <t>一壶</t>
  </si>
  <si>
    <t>五三点九</t>
  </si>
  <si>
    <t>IAN</t>
  </si>
  <si>
    <t>浣熊旅記</t>
  </si>
  <si>
    <t>复制上表↑粘贴在这里↓，然后再复制文本</t>
  </si>
  <si>
    <t>更新日志</t>
  </si>
  <si>
    <t>v1.31</t>
  </si>
  <si>
    <t>添加了更多弹药并并入自动化中。
优化了1.3版本更新后，弹药计算总数时只填充数量会导致总数显示错误的bug</t>
  </si>
  <si>
    <t>v1.4</t>
  </si>
  <si>
    <t>添加了机机风味美化，修复了角色卡没有纯洁印记的漏洞
增加了天赋及技能详情速查表，购物表并加入了自动化，添加住宿和医疗表，以及添加了机械神甫晋升表。</t>
  </si>
  <si>
    <t>v2.0</t>
  </si>
  <si>
    <t>在v1.4基础上重构版面；新增同时也删减合并了部分自动化
新增了巫术
为便于区分，半自动轻量版系角色卡以2.x开头</t>
  </si>
  <si>
    <t>v2.1</t>
  </si>
  <si>
    <t>细节优化</t>
  </si>
  <si>
    <t>能力</t>
  </si>
  <si>
    <t>鼓舞氛围</t>
  </si>
  <si>
    <t>完整动作</t>
  </si>
  <si>
    <t>可</t>
  </si>
  <si>
    <t>自身</t>
  </si>
  <si>
    <t>这是个好的灵能，它让你看上去很好，所有看到你的人都会忍不住想对你说好话，这很好。另外，看到你的人会觉得充满自信，以至于对抗恐惧和压制的检定 +20。</t>
  </si>
  <si>
    <t>/</t>
  </si>
  <si>
    <t>减缓痛苦</t>
  </si>
  <si>
    <t>部分动作</t>
  </si>
  <si>
    <t>10m</t>
  </si>
  <si>
    <t>范围内你指定的一个生物（也可以是你自己）移除 1 级虚弱。</t>
  </si>
  <si>
    <t>每超过阀值 5 点，额外移除 1 级虚弱。</t>
  </si>
  <si>
    <t>痉挛</t>
  </si>
  <si>
    <t>50m</t>
  </si>
  <si>
    <t>你可以瞬间使目标肌肉痉挛。目标可以进行意志检定抵抗此效果，失败会全身发痒，陷入一阵无法控制的痉挛，并立刻倒地。如果目标持有射击武器，该武器会走火，目标正常进行 BS 检定并击中最接近的人。</t>
  </si>
  <si>
    <t>每超过阀值 5 点，你可以多指定一个目标，或者将意志检定难度提高一级。</t>
  </si>
  <si>
    <t>武器故障</t>
  </si>
  <si>
    <t>用你的意志干扰机魂，范围内你指定的一件不具有原始特性的武器自动发生故障。武器故障可以通过正常方法排除。注意机械神教对这种做法很反感，对这种灵能者往往持不信任态度。</t>
  </si>
  <si>
    <t>每超过阀值 5 点，影响范围增加10m，或者多指定一件武器。</t>
  </si>
  <si>
    <t>医疗者</t>
  </si>
  <si>
    <t>该灵能只能作用于范围内的一个自愿目标（包括你自己），并使其恢复 1d5 点伤害（优先恢复致命伤害）。但是反复使用这种治疗手段存在危险，人体会开始抵制亚空间的能量。如果目标在六小时之内再次被施以此灵能，他必须进行坚韧检定，否则会受到而不是恢复1d5 伤害，该伤害无视坚韧加值和护甲防护。</t>
  </si>
  <si>
    <t>把戏</t>
  </si>
  <si>
    <t>你巧妙地影响身边的“场”，让自己在游戏中作弊的技巧更为高超。灵能生效期间，赌博技能将变为你的基本技能，且得到二级精通（+20）。如果你已经掌握了赌博技能，则该技能检定 +20。但如果你在赌博技能上已经有任何一级精通，该灵能无效，因为你已经达到这个水准了。</t>
  </si>
  <si>
    <t>白噪音</t>
  </si>
  <si>
    <t>让区域内充满亚空间干扰，使区域内的任何目标都难以被侦测。尝试用灵能手段或技术手段对该区域内任何目标进行侦测的检定变为艰难(-20)。如果侦测手段不需要检定，那么侦测者需要进行一个常规(+10)意志检定(使用灵能手段)或常规(+10)智力检定(使用科技手段)。</t>
  </si>
  <si>
    <t>每超过阀值 5 点，影响范围增加10m。</t>
  </si>
  <si>
    <t>爆炸闪光</t>
  </si>
  <si>
    <t>20m</t>
  </si>
  <si>
    <t>你制造出一阵闪光爆炸，范围内的任何人都要进行一次常规（+20）意志检定，失败则眩晕 1 轮。</t>
  </si>
  <si>
    <t>每超过阀值 10 点，检定难度提升一级。</t>
  </si>
  <si>
    <t>变色龙</t>
  </si>
  <si>
    <t>让自己身体颜色与环境一致。躲藏+30，针对你的射击 BS-20。</t>
  </si>
  <si>
    <t>抵抗附身</t>
  </si>
  <si>
    <t>反射动作</t>
  </si>
  <si>
    <t>建立精神守护保卫自己的意志。接下来的一小时之内，抵抗恶魔的附身时，你可以重投任何失败的意志检定。</t>
  </si>
  <si>
    <t>凋零</t>
  </si>
  <si>
    <t>3d10m</t>
  </si>
  <si>
    <t>你引发一阵恶毒的波动席卷四周，使范围内的所有“正常”植物凋零死亡。</t>
  </si>
  <si>
    <t>每超过阀值 5 点，影响范围增加1d10m。</t>
  </si>
  <si>
    <t>非凡精准</t>
  </si>
  <si>
    <t>用亚空间的力量引导自己瞄准。到你的下一回合结束，你所做的任何 BS 检定 +30。</t>
  </si>
  <si>
    <t>感官延伸</t>
  </si>
  <si>
    <t>延伸你的感官，你能模糊地感应到范围内的所有生物。你能自动探测到范围内的所有生物。你知道该生物以你为基准的方向，但不知道精确位置和距离。你能分辨该生物的体型大小，但不知道具体物种。厚度达1米以上的墙壁会阻挡你的感知。</t>
  </si>
  <si>
    <t>每超过阀值 5 点，你的探测距离增加 10m。</t>
  </si>
  <si>
    <t>光亮</t>
  </si>
  <si>
    <t>通过燃烧意志中的特殊原料，你创造出一个灵能火焰。该火焰有你手掌大小，可以从你身体任何部位发出，且随你的心跳摇曳。火焰的亮度与一盏辉光灯相当，没有热度，颜色可依你意愿随时改变。</t>
  </si>
  <si>
    <t>每超过阀值 10 点，你可以让火焰亮度加倍或减半，或者让火焰漂浮在你周围 1米以内的任意位置。</t>
  </si>
  <si>
    <t>诡异好运</t>
  </si>
  <si>
    <t>人们说灵能者的运气总是很奇怪，毫无疑问和这个灵能有关。施展后，直到你的下一回合结束，你可以随意重投一次检定（包括伤害骰）。</t>
  </si>
  <si>
    <t>呼唤生物</t>
  </si>
  <si>
    <t>1km半径</t>
  </si>
  <si>
    <t>1km 范围内智力低下的生物，例如老鼠，尸虫，或其它害虫会被你呼唤过来，生物种类依环境而定。如果附近没有合适的生物，则灵能无效。正常情况下，1d10 只上述生物会在2d10 分钟之后出现。生物并不服从灵能者的指挥，只是依天性行动。</t>
  </si>
  <si>
    <t>每超过阀值 5 点，范围增加 1km。</t>
  </si>
  <si>
    <t>记忆重现</t>
  </si>
  <si>
    <t>30m</t>
  </si>
  <si>
    <t>对 30m 内一个你可见的目标施展，使他片刻前的记忆重现。目标可进行意志检定抵抗此效果。目标如果检定失败，就必须重复上一轮的动作，例如，朝一个已经不存在的目标开火。如果这种行动对目标有显而易见的伤害，例如奔下悬崖，则目标抵抗该灵能的意志检定自动成功。</t>
  </si>
  <si>
    <t>恐惧灵光</t>
  </si>
  <si>
    <t>你扭曲现实以让自己的外貌更加恐怖。你对于任何看到你的人都有恐惧等级 2。</t>
  </si>
  <si>
    <t>每超过阀值 10 点，恐惧等级提升1。</t>
  </si>
  <si>
    <t>灵能恶臭</t>
  </si>
  <si>
    <t>接触</t>
  </si>
  <si>
    <t>接触一样物品，你可以让它散发出一种灵能恶臭。这种灵能恶臭只存在于意识中，任何生物，无论与物品之间存在什么障碍，或是有什么样的空气净化装置，甚至不管生物是否有健全的嗅觉，只要接近到物品 5 米之内，都可以闻到这种气味。不同的人闻到的气味不见得一样，但这种气味肯定是靠近的生物所最厌恶的。灵能恶臭可以持续 1d10 天，之后会消散。</t>
  </si>
  <si>
    <t>凝固祝福</t>
  </si>
  <si>
    <t>让你自己以及该范围内的一名目标停止失血。</t>
  </si>
  <si>
    <t>每超过阀值 5 点，你可以多指定一个目标。</t>
  </si>
  <si>
    <t>扭曲视线</t>
  </si>
  <si>
    <t>自由动作</t>
  </si>
  <si>
    <t>你的身形变得模糊以至视觉难以发现。直到你下一轮开始之前，任何针对你的射击能力检定 -30。有盲斗天赋的角色只承受-10 减值。一名角色若灵能感应(+0)检定成功，则该角色射击灵能者无此减值。基于标准光学传感器的探测设备会被该灵能愚弄，但热成像仪，运动传感器，或基于其它方式的探测设备则不会。没有视觉的生物不受该灵能影响。</t>
  </si>
  <si>
    <t>漂浮</t>
  </si>
  <si>
    <t>该灵能可以让你在离地不超过5米处漂浮，但只能上下漂浮，无法水平移动。你可以用这个灵能停止自己的下坠，这需要你在成功施展灵能之后，再进行一个困难(-10)的意志检定。</t>
  </si>
  <si>
    <t>神奇之手</t>
  </si>
  <si>
    <t>你在有效范围内创造出一股无形的力量这股力量的力量属性值等于你的意志，持续到你下一回合结束。你可以用这股力量敲击按钮，拉开抽屉，击倒物品，以及做诸如此类的事情。但用这力量无法进行精确操作，例如操作键盘，拉开别人身上的手榴弹引信，拆除触发器等等。另外，神奇之手对生物无效。</t>
  </si>
  <si>
    <t>忘记我</t>
  </si>
  <si>
    <t>指定范围内的一个目标。该目标将立刻丧失任何与你有关的记忆，1d10 分钟之后恢复正常。目标可以进行普通（ +10 ）的意志检定抵抗此效果。</t>
  </si>
  <si>
    <t>每超过阀值 5 点，你可以：多指定一个目标；或让记忆抑制的时间增加 1d10 分钟；或将抵抗该灵能的检定难度提高一级。</t>
  </si>
  <si>
    <t>削弱屏障</t>
  </si>
  <si>
    <t>你将范围内的空间向非物质空间拉近。范围内施展任何灵能的灵能检定 +2，且掷出8，9 和 10 都会引发灵能现象。</t>
  </si>
  <si>
    <t>每超过阀值 5 点，影响范围加 10m。</t>
  </si>
  <si>
    <t>寻找窍门</t>
  </si>
  <si>
    <t>你深深地冥想，唤醒自己的潜能。直到你的下一回合结束，你进行的任何非战斗技能的检定 +10。</t>
  </si>
  <si>
    <t>亚空间嚎叫</t>
  </si>
  <si>
    <t>你将亚空间中的一阵悠长凄厉的嚎叫送入现实。一轮之内，范围内的所有声音都被这阵嚎叫盖过。</t>
  </si>
  <si>
    <t>引发疯狂</t>
  </si>
  <si>
    <t>100m</t>
  </si>
  <si>
    <t>接触范围内某个目标的意识并强迫它经历极端恐怖的影像。目标可进行一次意志检定，失败则投 d100，引发精神创伤</t>
  </si>
  <si>
    <t>每超过阀值 10 点，你可以多指定一个目标。</t>
  </si>
  <si>
    <t>预知</t>
  </si>
  <si>
    <t>你可以有限地预知未来，距离现在越近，未来的画面就越清晰。灵能生效期间你的闪避和格挡检定 +10。</t>
  </si>
  <si>
    <t>造成痛苦</t>
  </si>
  <si>
    <t>对目标施加精神上的痛苦，如果目标没有通过意志检定则所有检定 -10。</t>
  </si>
  <si>
    <t>召唤物品</t>
  </si>
  <si>
    <t>无限制</t>
  </si>
  <si>
    <t>你可以召唤一件物品到你手中。在此之前你必须花费一小时深入冥想，将灵能浸入该物品，并用特殊符文标记之。该物品必须足够小而轻，能让你单手持握。同一时间你只能准备一件用来召唤的物品。</t>
  </si>
  <si>
    <t>蛛行</t>
  </si>
  <si>
    <t>任意扭曲自己身边的重力方向。你在非正常重力下行动无减值，且可以在墙壁或天花板上半速移动。但在两个相互垂直的表面之间（例如，从墙壁走到天花板）移动时要进行敏捷检定，除非你用一个完整动作小心翼翼地走过去。</t>
  </si>
  <si>
    <t>忍受火焰</t>
  </si>
  <si>
    <t>你可以忍受最猛烈的火焰，让自己在火中毫发无损地行走。你可以免受来自火焰或火焰武器的伤害，而等离子或热熔武器则会在计算护甲和韧性之前先减少一半的伤害。该灵能同样会影响你的衣物和设备。</t>
  </si>
  <si>
    <t>开放性创口</t>
  </si>
  <si>
    <t>你可以使一个受过伤害的目标伤口破裂，鲜血迸射，以一种及其混乱的方式迅速放血。受害者必须通过一个困难（-10）的坚韧测试，否则将遭受 1d5R 的伤害，无视其坚韧与护甲（作用于目标最新受伤的位置）。此外，如果目标已经重伤，还将立即遭受失血的效果。该灵能对未受伤或无生命的目标无效。</t>
  </si>
  <si>
    <t>空间滑跃</t>
  </si>
  <si>
    <t>你推动自己穿越亚空间的边缘，从现实中短暂地消失，然后重新出现在一个附近的位置。
这是一种强大的技巧，但效果却十分危险且不可预测。如果成功释放了此灵能，灵能者立即从他当前的位置移动到 1d5 或 1d10+2 米外的位置（移动的方位应在投掷前选定）并不会受到任何阻碍。然而，灵能者无法使用该灵能穿越围墙、虚空盾、盖勒力场或其他类似的东西。
特殊事项：如果使用该灵能会将灵能者置于固体物质中，灵能者需进行一个有挑战（+0）的韧性测试。如果测试成功，则灵能者会被扔到距离该物体 1d5 米外的地方并昏迷 1d5 轮。若测试失败，则灵能者还会额外受到 1d10x 的伤害（位置为躯干），该伤害不受韧性或护甲影响。如果这个固体物质也是一个生物，则该生物也需要进行一个有挑战（+0）的韧性测试，未通过则会昏迷。</t>
  </si>
  <si>
    <t>暗示</t>
  </si>
  <si>
    <t>6m</t>
  </si>
  <si>
    <t>你将一个心灵暗示置入目标的脑中，让对方更容易接受一种思路，短暂地体验一种感觉，相信你说的话或是短暂获得你选定的情绪体验。
灵能者跟目标应进行意志对抗。若灵能者赢得了意志对抗，则他可以将暗示置于目标的意识。
这并非是真正具有强迫性质的心灵控制，而是对目标感知和态度的微妙操纵。你可以让一个目标感受到“他喜欢你”、“他饿了”、“他见过你的身份证明”、“你说的有可能是真的”或有一只蝎子正爬上他的背部。然而，你不能让目标做出完全脱离对方性格的特定行为，相信那些完全难以置信的事情，改变他的基本信仰或是伤害他自己。
特殊事项：这种灵能最好与社交技能一同使用（例如让被你质疑的告密者感到恐惧，或是说服雇员相信他真的在雇主的公司里见过你）。以这种方式使用社交技能可以获得+20 的加值。</t>
  </si>
  <si>
    <t>时间淡出</t>
  </si>
  <si>
    <t>你将自己从正常的时空流动中短暂地移除，如果一个消失的全息影像。你即刻便消失了……然后在 1d5 回合之后回到完全相同的位置。如果这个位置此刻被占据，就会产生与空间滑跃相同的排斥效应。
特殊事项：这个灵能会对灵能者产生十分令人不安且混乱的影响。成功释放了此灵能的灵能者应当立即进行一个有挑战性（+0）的意志检定，以便他能够在返回现实的回合立即行动。若是这个测试的失败等级超过了 3 级，则灵能者被视作进行了一次失败的恐惧检定，须投掷震惊效果。</t>
  </si>
  <si>
    <t>密语之种</t>
  </si>
  <si>
    <t>你用灵能将图像或简单的信息植入在他人身上，随后由目标在不知情的情况下带着它，直到携带者被你所指定的接收者触摸。图像或信息在接触的瞬间就会传递到接收者的脑中。这种灵能能让你极为安全地传递信息。文字消息应是由不超过 5 个词组成的符号或句子。</t>
  </si>
  <si>
    <t>销毁指令</t>
  </si>
  <si>
    <t>此灵能可以施展在诸如羊皮纸或数据晶片之类的一个小物品上，并在触发预设的情况时使其自我分解。例如，灵能者可以将一封信件设定为被读取后蒸发，或一个通讯微珠在收到消息后自毁。施术者必须为此物品唯一的所有者，且不能是一个更大的整体的一部分。举例来说，此灵能可以使一个单独的小齿轮自毁，但对一颗仍装在计时器内的齿轮则不起作用。</t>
  </si>
  <si>
    <t>失真</t>
  </si>
  <si>
    <t>你可以使目标的外表特征与声音变成一个无定的、无法识别其真实性质的扭曲存在，对他人来说，他们感受到的将是一副令人不安、随机改变的面孔和由难以辨识的声线组成的声音声音。那些与被施以此灵能的角色互动的人将完全无法认知此角色，甚至无法确定角色的性别。</t>
  </si>
  <si>
    <t>灵魂牵绊</t>
  </si>
  <si>
    <t>这种灵能的使用者常是那些巫师、女巫或其他非法灵能者。此灵能可以使施法者与动物建立灵魂链接，与其协同工作。灵能者也可以将建立了链接的使魔当做灵能法器来施展专注。使魔与其主人在同一回合行动，但类似赛博动物或机械使魔，使魔使用自己的属性和技能，并独立于其主人而行动。使魔的死亡会对灵能者造成极大的心理创伤，在使魔死亡后 5 小时内，灵能者的所有测试将遭受-10 的惩罚。一个灵能者同一时间只能拥有一只使魔。</t>
  </si>
  <si>
    <t>紊乱</t>
  </si>
  <si>
    <t>25m</t>
  </si>
  <si>
    <t>灵能者将破坏性的能量集中在电子设备内部，致使其在短时间内出现故障。此灵能将会使带有机械特性的目标眩晕或宕机（规则上等同于晕眩）一回合。有机械特性的生物，如机械神甫或机仆，可以进行一个有挑战性（+0）的意志检定来抵抗此效果效果。若未能成功，则他们身上所有的机械部件都会在一回合内停止工作。</t>
  </si>
  <si>
    <t>每超过阈值 10 点，可以多选择一个目标释放。</t>
  </si>
  <si>
    <t>千面</t>
  </si>
  <si>
    <t>只要目标的长相与面部特质众所周知，灵能者就可以通过此灵能改变周遭人的认知，让他们将灵能者视为目标。想看穿此点需要进行一个有挑战性（+0）的意志检定。</t>
  </si>
  <si>
    <t>每超过阈值 5 点，意志检定的难度就会提高一级。</t>
  </si>
  <si>
    <t>感知机械</t>
  </si>
  <si>
    <t>通过将视觉延伸入亚空间中并观察实体宇宙的物理投影，灵能者可以感知附近区域内的机械与构造体。这并不能让灵能来了解其功能，而仅仅只是探知其形状与位置。由于生物在亚空间中的投影远比机械与构造体明亮，因此生物的存在会遮挡它和位于它后面的区域。</t>
  </si>
  <si>
    <t>信赖氛围</t>
  </si>
  <si>
    <t>你巧妙地改变自己的气质，以激发他人对你的信任。你周围的听众会自然而然地倾向于相信你所说的话，或者认为你的论点更为合理。在维持此灵能时，任何社交互动获得+10 加值。</t>
  </si>
  <si>
    <t>若超过阈值 10 点，加值将增加为+20。</t>
  </si>
  <si>
    <t>求真者</t>
  </si>
  <si>
    <t>在被这种灵能影响时，人是很难撒得出谎的。受此灵能影响的目标若想说谎，则必须通过一个有挑战性（+0）的意志检定。请注意，受术者还能选择闭上嘴，保持沉默。</t>
  </si>
  <si>
    <t>每超过阀值 5 点，意志检定的难度就会提高一级。</t>
  </si>
  <si>
    <t>闪动</t>
  </si>
  <si>
    <t>你可以使目标下意识地看向一旁，抓痒或做出类似的分心举动，在短暂的瞬间注意力分散。目标接下来一个回合内的感知检定会遭受-20 的惩罚。</t>
  </si>
  <si>
    <t>每超过阀值 10 点，闪动的持续时间就会延长一回合。</t>
  </si>
  <si>
    <t>灭迹</t>
  </si>
  <si>
    <t>在此灵能的持续期间，灵能者不会留下任何他曾经来过的痕迹或证据，即使录像或录音等技术设备也无法记录。当然，这并不意味着灵能者当前的存在是无法被看到或被检测到的，而警报与陷阱也会被照常触发。</t>
  </si>
  <si>
    <t>焚血咒</t>
  </si>
  <si>
    <t>生化学科</t>
  </si>
  <si>
    <t>用特殊的姿势和节拍与目标的身体协调以此控制目标的心跳与脉搏，并持续提升目标的血压直到致命。每一轮(包括你施展灵能的那一轮)你都可以用一个部分动作进行对抗检定，用你的意志对抗目标的坚韧。如果你胜出，则对目标造成1级虚弱，加上每成功度1级，直到对方失去意识。这之后，如果你继续对抗检定，将造成1级虚弱改为造成5点伤害。如果你造成的伤害总值等于目标的承伤，目标的心脏和大脑会爆掉，溅得四处都是。</t>
  </si>
  <si>
    <t>每超过阀值 5 点，进行对抗检定时你的意志检定 +10。</t>
  </si>
  <si>
    <t>封印创伤</t>
  </si>
  <si>
    <t>范围内的指定目标(包括你自己)伤口愈合，断骨复原。目标恢复 1d10 加你意志加值的伤害，该灵能既可以恢复致命伤害也可以恢复普通伤害。</t>
  </si>
  <si>
    <t>每超过阀值5点，你可以：将影响范围扩大 10m；或额外指定一名目标；或对一名目标移除额外 1d10+WB 的伤害。</t>
  </si>
  <si>
    <t>强化感官</t>
  </si>
  <si>
    <t>你将自己的感官强化到人类的极限。选择一项感觉，基于该感觉的所有检定 +30。但是由于你强迫自己的器官超负荷工作，与选定感觉相关的器官也会变得异于常人，例如双眼扩
张且不停地流泪，皮肤变得通红，鼻子不停地流下粘液等等。</t>
  </si>
  <si>
    <t>每超过阀值 5 点，可以额外增强一种感觉。</t>
  </si>
  <si>
    <t>肉体塑形</t>
  </si>
  <si>
    <t>肉体塑形的要素在于让你的肉体与意志不再有区别——这几乎是所有活力灵能者的追求。肉体塑形可以让你随心所欲地改变形体，每次施展，你都可以选择以下效果:
获得以下特性之一:掘地(1)，腹足生物,黑暗视觉，悬浮，飞行，天生护甲(2)，天生武器，或四足动物。
变形成任何你了解的生物的外貌，伪装检定视为基本技能且 +10。如果你已经掌握伪装技能，则该技能 +20。
获得天生武器(啮咬，爪抓，等等)，可造成 1d10+SB 的伤害。
与其它灵能不同的是，该灵能可重复施展，每次选择一个不同的效果。</t>
  </si>
  <si>
    <t>生物闪电</t>
  </si>
  <si>
    <t>用自己的身体发射出一道闪电，指向范围内单一目标，造成 1d10+WB 的能量伤害。</t>
  </si>
  <si>
    <t>每超过阀值 5 点，影响范围增加10m；每超过阈值 10 点，你可以多射出一道电流，指向相同或不同的目标。</t>
  </si>
  <si>
    <t>铁拳</t>
  </si>
  <si>
    <t>你召唤亚空间的力量增强你的肢体，让你的双手可以轻易撕裂肉体与骨骼，但这种打击毫无精准可言。你的力量加值变为原来的4倍，且获得天生武器特性。但没有什么武器足够结实能让你握在手里使用(而且你也用不着)。</t>
  </si>
  <si>
    <t>吸除毒素</t>
  </si>
  <si>
    <t>你可以把任何毒素从目标体内吸出，如同解毒剂的效果，但目标必须失去一个完整动作等待毒素离开身体。</t>
  </si>
  <si>
    <t>每超过阀值 5 点，你可以影响一个额外目标，但目标必须被你接触。</t>
  </si>
  <si>
    <t>细胞控制</t>
  </si>
  <si>
    <t>控制自己的激素调节，细胞结构，生理周期等等。由此你可以得到下列好处之一:
·对所有毒素免疫
·可以忍受极高的温度
·任意一项属性---除了 WS 和 BS-得到+10 加值
·不会虚弱
·可以在真空环境中生存(尽管你仍然需要呼吸)。
与其它灵能不同的是，该灵能可重复施展，每次选择一个不同的效果。</t>
  </si>
  <si>
    <t>压缩肢体</t>
  </si>
  <si>
    <t>通过词句，动作，或者仅仅一个想法，你可以让目标的肌肉急剧收缩，压缩他的气管并使其窒息。目标每轮可以以一个自由动作进行意志检定，成功可正常行动(但仍处于该灵能影响之下)。失败的话，则必须花费一个完整动作进行坚韧检定，成功可以正常呼吸，失败就依然窒息。灵能生效期间，目标一直视为进行剧烈活动。</t>
  </si>
  <si>
    <t>每超过阀值 10 点，坚韧检定难度提高一级。</t>
  </si>
  <si>
    <t>再生</t>
  </si>
  <si>
    <t>活力学科能力的巅峰之一，可以修复残破的肉体，让断肢再生。施展后，你每轮恢复1d5 点伤害(优先恢复致命伤害)并移除所有的虚弱，当所有伤害恢复完毕后，你就开始再生出失去的肢体或组织。注意你必须先将替换的机械肢体卸下来，否则新肢体无法再生。</t>
  </si>
  <si>
    <t>极度痛苦</t>
  </si>
  <si>
    <t>通过灵能的传导，你以极度的痛苦鞭笞敌人。目标必须在每轮开始时进行一个有挑战性（+0）的坚韧检定，若未能通过则目标只能进行一个部分动作。如果目标的失败等级高于 3级，则目标本回合将无法采取任何行动并承受 1 级虚弱。此外，如果此灵能被用于审讯，则会给灵能者的审讯测试+10 的加值。这个灵能对没有生命的物质或无法感到疼痛的目标没有影响。</t>
  </si>
  <si>
    <t>每超过阈值 5 点，可以多选择一个处在射程内且位于你视线中的目标。</t>
  </si>
  <si>
    <t>活力流失</t>
  </si>
  <si>
    <t>你排尽目标生物的精力与气力，削弱其活力与力量，最终使其丧失行动能力乃至将其杀死。目标必须进行一个困难（-10）的意志检定，若未通过则力量、韧性与敏捷皆会降低 1d10（所有属性只掷一个骰子）。此外，如果受害者未能通过意志检定，则他必须在下一轮中再进行一次检定以承受更大的风险。此过程将一直持续到目标通过检定或失能（有一项属性降为了 0）。这些属性伤害会持续灵能生效的时间加上额外 1d10 轮。这个灵能对没有生命的物质没有影响。</t>
  </si>
  <si>
    <t>钢躯铁骨</t>
  </si>
  <si>
    <t>你吸取亚空间能量，使自己的肉体坚硬如铁。在这个灵能持续期间，你的坚韧加值提高2 而敏捷加值降低 1。</t>
  </si>
  <si>
    <t>每超过阈值 5 点，在灵能持续期间你的坚韧加值额外提高 1 点，上限为坚韧加值的 3 倍。</t>
  </si>
  <si>
    <t>触物占卜</t>
  </si>
  <si>
    <t>预言学科</t>
  </si>
  <si>
    <t>被人接触过的事物都会留下某种精神上的痕迹，这种痕迹通常会保留很久。预言灵能者可凭借该灵能来预测与某物相关联的人或事件的情况。这通常需要感官接触，例如，你需要尝一下凶手热血的特殊味道，才能给出相关信息。
你可以探知某物体上的痕迹，或者探知特定区域内的精神痕迹。如果是前者，你需要手握该物体，如果为后者，你的探知半径最大为你意志加值的米数。
你能得到的信息取决于你维持该灵能的时间。每 10 轮你可以得到一条新情报。
10轮:感应到与目标相关的最直接而强烈的情绪--爱，仇恨，愉悦，恐惧等等。
20轮:你得到发出上述情绪的人的大致外貌。
30轮:你得到发出上述情绪的人的清晰外貌。
40轮:你能识别该人的身份(例如，生涯和等级)。
50 轮: 你了解了该人的名字。
+10 轮:由GM决定的其它情报。</t>
  </si>
  <si>
    <t>每超过阀值 10 点，得到信息所需时间减半。超出阀值 10 点，你可以每 5 轮得到一次信息；超出20 点为每 2 轮一次；超出30 点为每轮一次。</t>
  </si>
  <si>
    <t>非凡射击</t>
  </si>
  <si>
    <t>这个灵能可以让你完成几乎不可能的射击。你必须装备有射击武器，并可以看到目标。你瞄准亚空间中目标的投影，并寻找导致命中的最接近的路径。结果就是，你的射击自动命中目标，无论是否超出射程。注意只有一次自动命中，即使你使用了全自动武器。其余的射击都必须正常进行 BS 检定。</t>
  </si>
  <si>
    <t>高瞻远瞩</t>
  </si>
  <si>
    <t>1km/WB</t>
  </si>
  <si>
    <t>指定一个区域(例如，由此向西两公里),你可以将视力延伸到此处。如果该位置有固体物体占据，则灵能自动失效。但选择位置不受障碍物影响，你可以看到水下，建筑物内部，
甚至是某人的背包里。该灵能施展之后，你可以用正常视觉从自己选择的那个点看事物。你可以花费一个部分动作将视野旋转 90 度，但不能移动点的位置。你只能再次施展该灵能以选择新的点。这个灵能不影响你视觉的其它特性，如果你将视觉延伸到一个黑暗的房间，而自己又没有黑暗视觉
的话，仍然什么都看不见。注意你只能看，没法听(当然你可以尝试读唇)。在你看着远方的时候，每轮只能进行部分动作，且所有检定 -30。</t>
  </si>
  <si>
    <t>每超过阀值 10 点，有效距离加倍。</t>
  </si>
  <si>
    <t>个人占卜</t>
  </si>
  <si>
    <t>为某个自愿的人占卜未来。你需要拉着对方的手，询问对方想要知道的事情。问题可能很具体，例如“荆棘圣杯组织的总部打算进行什么样的恐怖行动？”，也可以很抽象，例如“我该如何取悦我的审判官？”。越具体的问题往往得到越清晰的答案。
问题确定之后，接下来你和你的客户都要花费三十分钟时间进行你的聚焦能量动作—这可能是在做分析帝国塔罗牌，作标记，推敲细节等等事情。这段时间结束的时候，你进行灵能感应检定，每点成功度可得到更多信息。
成功度 0 末日：结果昭示了重大危险的警告，或者阻止你们在这个问题上继续深究。总之，未来依旧模糊不清。
成功度 1 凶兆：预言者感觉到了客户的厄运，客户注定面对两头都是灾难的抉择。
成功度 2 助益：预言者感觉到客户将会得到额外的帮助。
成功度 3+ 命运：预言者了解了客户的过去可能造成的全部影响，并可以为客户提供一句神秘的建议。</t>
  </si>
  <si>
    <t>灵魂视觉</t>
  </si>
  <si>
    <t>预言灵能者可以阅读一个人的气质---他的无意识在亚空间形成的幽灵自我---来了解此人的情绪，感受，和精神状态。这包括目标的性格，目前的情绪，受伤状态，精神疾病，堕落点与失心点几何等等。
施展灵能之后，灵能者可以花费一个完整动作进行灵能感应检定来了解任何他可见的目标的状态。信息量取决于成功度。每次施展该灵能只能阅读一个目标。
成功度0 色彩。你看到了目标的气质的色彩。这可以让你得知他目前感受到的最强烈的三种情绪。你还能分辨对方的种族。
是否掌握学院灵能。从气质的亮度，你还能大致了解对方的肉体与精神状态(良好，糟糕，轻伤，虚弱等等)。最后，你还能分辨对方是否是个不可接触者。
成功度1 流动。你了解目标的全部感受，知道对方的性格(阴郁，厌世，乐观等等)，对目标的所有交际技能 +10。你还能了解目标的生理状态，例如饥饿，欲望，虚弱中毒，痛苦等。你能精确了解对方目前的承伤和虚弱数值。最后，如果目标是个掌握学院灵能的灵能者，你能了解目标掌握了哪些学科。
成功度 2 形状。除上述信息外，你还能了解目标过去十二小时的情绪变化，精确的失心点数和精神疾病。如果目标是个掌握学院灵能的灵能者，你还能知道他的灵能等级。最后，你知道目标是否堕落(但不知道堕落点的具体数值)。
成功度 3+ 图案。你知道上述全部信息，还知道目标精确的堕落点数。你能判断对方是否掌握次级灵能(但不知道具体是什么)。最后，你还能判断对方的气质是他的真实气质，还是通过某些手段(灵能恶魔能力，技术手段等等)制造出来的，注意你不知道对方的真实气质究竟是什么，只能分辨出是否被加工过。</t>
  </si>
  <si>
    <t>探寻事物</t>
  </si>
  <si>
    <t>预言者可以集中精神找出附近的人或物品的下落。首先，灵能者必须选择一个特定的物品或人作为探寻的客体。之后，举例而言，灵能者可以说“我想知道打开这把锁的钥匙在什么地方”，而不是”我想知道钥匙在什么地方”。同样，如果是找人的话，灵能者必须曾见过这个人(匆匆一瞥即可)，或是知道此人的名字。仅仅是找出，比方说，“谋杀了这个官员的人”，是没有效果的。
一旦选定了探寻目标，就要进行灵能检定。以下因素会影响检定调整值:
灵能者很熟悉目标(某个老相识，或是常带在身上的物品):+10
灵能者拥有目标的一部分(某人的一根头发，雕像上的一片石头):+5
目标在 100m 以内:+5
目标在 500m 之外:-10
目标被大量同类事物包围(人群中的某人，一串钥匙中的某一把):-10
如果灵能者检定成功，且目标位于灵能者感知加值的公里数之内，则灵能者会得到的信息取决于检定成功度。
成功度0 目标的大致方向
成功度1 精确方向和大致距离
成功度2 精确方向和精确距离
成功度4 目标现在位置的景象，以及精确的方向和距离
灵能者如果维持该灵能，就可以随时花费个完整动作得到目标的位置信息，因此该灵能可用于追踪。信息的具体程度以第一次检定结果为准。</t>
  </si>
  <si>
    <t>一孔之见</t>
  </si>
  <si>
    <t>你窥探未来，看到了无数可能性交织的多边网。直到你下一回合结束，你的任意一项技能检定 +30。</t>
  </si>
  <si>
    <t>预知打击</t>
  </si>
  <si>
    <t>直到你下一回合结束之前，WS 和 B S检定 +20。</t>
  </si>
  <si>
    <t>预知警觉</t>
  </si>
  <si>
    <t>警觉检定 +20，先攻权额外加上意志加值。</t>
  </si>
  <si>
    <t>每超过阀值 10 点，先攻权再加一次意志加值。</t>
  </si>
  <si>
    <t>预知闪避</t>
  </si>
  <si>
    <t>你看到了自己不久之后的未来，使得你能自信地在弹雨中穿梭。直到你下一回合结束之前，射击你的 BS 检定 -30。</t>
  </si>
  <si>
    <t>焚灭浩劫</t>
  </si>
  <si>
    <t>操火学科</t>
  </si>
  <si>
    <t>只有极少数操火者能够掌握这项灵能，而有勇气使用它的更是少之又少。这项灵能可以召唤白热的灵魂火焰焚尽一切，包括非物质世界的存在，但狂野的能量也会对灵能者本人的灵魂造成伤害。焚灭浩劫会以你为中心发出并随你移动，对周围的所有生物或物体造成 1d10 加上你意志加值的能量伤害，该伤害无视对方的坚韧加值以及任何护甲防护。维持该灵能的每一轮，你都要受到1d10+1 能量伤害(同样忽视坚韧和护甲)。亚空间生物以及免疫火焰的生物同样会受到伤害。焚灭浩劫造成的伤害无法以任何灵能手段恢复。如果目标被焚灭浩劫杀死，它的存在就被永远终结了。</t>
  </si>
  <si>
    <t>灰飞烟灭</t>
  </si>
  <si>
    <t>该灵能可以让你瞬间引发比热熔枪还高的温度。该灵能需要瞄准一个固定目标，因此对可移动物体施展会比较困难。指定10米内一个目标，对它造成 1d10+1 能量伤害。之后的每一轮，你都可以用一个完整动作再次瞄准该物体，造成等于上一轮伤害减1的伤害。你必须保证目标在有效范围且在你视线之内，才能对该目标造成伤害。灰飞烟灭造成的伤害无视坚韧加值和任何护甲防护。</t>
  </si>
  <si>
    <t>火焰风暴</t>
  </si>
  <si>
    <t>在范围内你可见位置选择一点，以该点为中心6米半径内掀起火焰风暴。范围内所有生物和物体受到 1d10+5 能量伤害。</t>
  </si>
  <si>
    <t>每超过阀值 5 点，多造成 1d10 伤害。</t>
  </si>
  <si>
    <t>火焰矢</t>
  </si>
  <si>
    <t>制造一支火焰矢射击 100 米内你看得到的敌人。火焰矢的形状和色彩由你自己指定。你要进行一次挑战性(+0)的意志检定，通过则可成功命中目标并造成 1d10+5 能量伤害。</t>
  </si>
  <si>
    <t>每超过阀值 5 点，可以多射出一支火焰矢，射击范围内的任何目标。每支火焰矢要分别进行意志检定。</t>
  </si>
  <si>
    <t>火焰塑形</t>
  </si>
  <si>
    <t>5m/WB</t>
  </si>
  <si>
    <t>控制范围内的火焰。成功施展之后可以选择以下效果:
·将火焰面积扩大一倍(如果附近有可燃物的话)
·将火焰面积缩减为一半
·令火焰向你指定的方向蔓延 1/WB 平方米
·将火焰塑造成你指定的形状——物品，人形，等等
·令火焰爆炸，所有邻近目标进行敏捷检定，失败会着火
·令火焰冒出浓烟，覆盖三倍于火焰面积的区域(视为浓雾)
你只能操控同一个火源，但每轮可以选择项新效果，或者维持原有效果。</t>
  </si>
  <si>
    <t>你可以扩展该灵能的用途。如果超过阀值 5 点，你可以用火焰塑造成易于识别的图像；超过 10 点，你的火焰塑像变得栩栩如生。另外，每超过阀值 5 点，有效范围翻倍（超过 5 点，距离变为基本距离的两倍；超过 10 点变为四倍；依此类推）。</t>
  </si>
  <si>
    <t>火焰之墙</t>
  </si>
  <si>
    <t>60m</t>
  </si>
  <si>
    <t>一个笨拙却很有效的灵能，可以制造一堵三米高，一米厚，长度任意的火焰墙。长度最大不能超过 10m/WB。你可以将火焰之墙置于范围内任何位置，甚至是敌人头上，但对方可以进行一次容易(+20)的敏捷检定避开着火的路径，失败受到 1d10+5 能量伤害。任何穿越火墙的生物同样受到 1d10+5 能量伤害，且需要进行敏捷检定防止着火。火焰之墙造成的伤害无视护甲防护，但坚韧加值仍然有效。</t>
  </si>
  <si>
    <t>燃烧之拳</t>
  </si>
  <si>
    <t>双手燃起火焰，徒手攻击可造成1d10+SB 的能量伤害。另外，你的徒手击打不再被视为原始武器。</t>
  </si>
  <si>
    <t>熄灭火焰</t>
  </si>
  <si>
    <t>灵能生效时，范围内的所有火焰熄灭，包括火焰武器。使用火焰武器时，燃料正常消耗,但无法燃烧。达到燃点的物质在离开灵能范围后会继续燃烧。</t>
  </si>
  <si>
    <t>每超过阀值 5 点，影响范围增加5m。</t>
  </si>
  <si>
    <t>召唤火焰</t>
  </si>
  <si>
    <t>召唤一团小火焰到你掌中。这团火焰大小如同火把，且可以为你的徒手攻击增加2点伤害---但这个灵能通常不是用于攻击目的，而是用于照明，或者作为其他操火灵能的原料。
灵能生效时，你的一只手只能持握火焰，而无法抓握其它物品。</t>
  </si>
  <si>
    <t>致盲闪光</t>
  </si>
  <si>
    <t>12m</t>
  </si>
  <si>
    <t>聚焦一股能量并瞬间，释放时发出耀眼的光芒。范围内正视你的目标，必须通过敏捷检定，否则目盲 1d10 乘以你灵能等级的轮数。
如果目标具有护目设备，或根本没有视觉器官，灵能无效。注意，灵能者可能会意外地晃瞎自己(如果他特别笨的话)。</t>
  </si>
  <si>
    <t>每超过阀值 10 点，影响范围增加4m。</t>
  </si>
  <si>
    <t>神躯化炎</t>
  </si>
  <si>
    <t>你化身为狂暴的人形烈狱，身躯由纯粹的炽热与火焰构成。在灵能持续期间获得以下效果：
·由于被火焰吞噬，所有你携带的武器和装备都被永久摧毁了。
·你完全免疫所有来自火焰或火焰武器的伤害，并且激光、等离子或热熔武器都会在计算护甲和韧性之前先减少一半的伤害。
·在灵能持续期间，你获得梦魇具现特性，并且坚韧加值提高 3 点。
·五米内的任何事物都会受到每轮 1d5E 的伤害，并且这个半径内的一切可燃物都会被迅速点燃。
·你的徒手攻击会造成 1d10 加上你力量加值的能量伤害，拥有 5 穿甲并被视为具有灵能特性。如同攻击动力武器时那样，任何击中你的武器都有 75%的几率被摧毁。
特殊事项：在这个灵能的维持结束以后，灵能者会遭受 1d5 的虚弱等级。</t>
  </si>
  <si>
    <t>传感护盾</t>
  </si>
  <si>
    <t>遥感学科</t>
  </si>
  <si>
    <t>召唤传感能量，建立一个类似力场盾的防护。你身体各部位的护甲防护 +1，与原护甲防护累加。如果花费一个完整动作施展灵能，你还可以选择让传感护盾的颜色按你设计的方案以一定频率在不同色彩间切换。注意不论颜色如何，护盾只能发出微光，不会干扰任何人的视线。</t>
  </si>
  <si>
    <t>每超过阀值 10 点，护甲防护再 +1。</t>
  </si>
  <si>
    <t>弹射捕获</t>
  </si>
  <si>
    <t>1m/WB</t>
  </si>
  <si>
    <t>捕获任何针对你的固体弹射物(例如子弹，但对能量无效)。到你的下一回合结束为止，你自动忽视等于你 SB 的命中数。原本会命中你的弹射物会立刻静止在空中，灵能失效后会无害的落地。</t>
  </si>
  <si>
    <t>精准传感</t>
  </si>
  <si>
    <t>如果说心灵传感是长柄大锤，精确传感就是手术刀。你可以用它拉开手榴弹引信，敲击键盘，拆除陷阱，解开绳结，以及进行任何精确操作，甚至可以引导小型弹射物进行精确命中。你可以用这个灵能进行次级灵能:神奇之手能做到的任何事情。另外，如果精确传感进行的任务需要进行属性检定，你可以用意志检定取而代之。</t>
  </si>
  <si>
    <t>力场弹幕</t>
  </si>
  <si>
    <t>10m/WB</t>
  </si>
  <si>
    <t>与力场箭相似，但你可以创造每 WB 一支力场箭，并分别发射每一支。</t>
  </si>
  <si>
    <t>每超过阀值 5 点，你可以多创造一支力场箭。</t>
  </si>
  <si>
    <t>力场箭</t>
  </si>
  <si>
    <t>制造一股有实体的精神力量，呼啸着袭向目标。进行 WP 检定以命中目标，造成1d10+WB 冲击伤害。</t>
  </si>
  <si>
    <t>每超过阀值 5 点，造成一点额外伤害。</t>
  </si>
  <si>
    <t>灵能碾压</t>
  </si>
  <si>
    <t>直接将传感力量作用于周围所有的敌人，将对方用力量漩涡束缚并将生命从目标身上挤压出去。施展之后，用意志属性与区域内每一名敌人的坚韧属性进行对抗检定，如果你胜出，则对失败者造成 1d10+WB+2/成功度 的冲击伤害。</t>
  </si>
  <si>
    <t>灵能刃</t>
  </si>
  <si>
    <t>为自己创造一把由精神能量构成的武器锋刃部分出奇地薄——大概只有一个分子的厚度，可以轻松穿透任何装甲。灵能刃是一把极其危险的物品，挥舞时的片刻杂念都会导致破坏性的后果。
灵能刃视为灵能者装备的一把剑，但不需要任何武器训练，灵能者也不需要空出手来持握它。灵能刃是一把近战武器，但不能进行格档，攻击时进行 WP 检定取代 WS 检定。成功命中可造成1d10+2/WB 的撕裂伤害。灵能刃具有 2NB 的破甲属性。如果灵能刃的攻击检定投出 95-00，意味着灵能者瞬间的杂念干扰了灵能的运作。灵能刃转而攻击肉搏距离之内的另一个目标并自动命中。如果存在多个目标，则命中对灵能者当前精神状态影响最大的人。如果不存在其它目标，则灵能者本人被击中。</t>
  </si>
  <si>
    <t>心灵传感</t>
  </si>
  <si>
    <t>缓慢移动范围内的物体，重量不超过5kg/WB ，对生物无效，无法进行攻击。一次只能移动一件物品。如果你将注意力切换到另一物品，原物品会缓慢落地。</t>
  </si>
  <si>
    <t>凶猛投掷</t>
  </si>
  <si>
    <t>用灵能将范围内一个未固定的物体举起并掷向目标。你的举重上限为 5kg/WB ，通过一次 WP 检定以命中目标，造成 1d10 加上每5kg 物重 1 点的冲击伤害。</t>
  </si>
  <si>
    <t>每超过阀值 5 点，举重上限增加5kg/WB。</t>
  </si>
  <si>
    <t>意念撞击</t>
  </si>
  <si>
    <t>聚集一个球形能量场并作用于有效范围内单一目标。用你的意志与对方的力量进行对抗检定，如果你胜出，则对方被击倒在地，且每点成功度可造成 1 级虚弱。</t>
  </si>
  <si>
    <t>念动风暴</t>
  </si>
  <si>
    <t>自身周围半径 10 米</t>
  </si>
  <si>
    <t>该灵能表现为一场环绕着灵能者的、由灵能引起的不受控制的风暴。四周的小物件被吹得四处乱飞，玻璃破碎，电源短路并火花四射，火焰摇曳，沉思者发出无法理解的废码，并引起其他会使人分心的现象。风暴影响半径内除了施术者本人以外的所有人都会在进行物理动作时遭受-10 的减值，此外风暴也会对周围的环境造成破坏性影响。</t>
  </si>
  <si>
    <t>每超过阈值 10 点，念动风暴的半径就会扩大一倍。</t>
  </si>
  <si>
    <t>激励勇气</t>
  </si>
  <si>
    <t>传心学科</t>
  </si>
  <si>
    <t>激励战友的勇气并为其除去负面情绪。有效范围内等于你意志加值数量的目标立刻解除恐惧和压制效果，且只要在灵能生效时站在有效范围内，这些目标就一直无视这两种状态。这个灵能在帝国卫队中被广泛使用。</t>
  </si>
  <si>
    <t>强烈恐惧</t>
  </si>
  <si>
    <t>8m</t>
  </si>
  <si>
    <t>选择范围内最多等于你意志加值数量的目标，发掘他们内心最深处的恐惧。目标可进行意志检定，失败则会陷入恐惧。</t>
  </si>
  <si>
    <t>每超过阀值 5 点，所有目标的恐惧掷骰 +10。</t>
  </si>
  <si>
    <t>强迫行动</t>
  </si>
  <si>
    <t>所谓的“灵能者心灵戏法”之一，用途极其广泛的灵能，可以莽撞直接地使用，也可以用来耍些精妙的手腕。对有效范围内的一个人使用，之后你和目标进行意志对抗检定。
如果你胜出，你可以强迫目标执行你指定的动作。你的命令必须简短，且指定的任务可以在一轮之内完成，例如“逃跑”，“攻击那个目标”，“跳个快步舞”等等。如果该命令会导致显而易见的自杀性效果，目标的意志检定+20。该灵能只能影响肌肉活动，对心理活动无效，因此你无法命令目标说实话，或者使用灵能。</t>
  </si>
  <si>
    <t>每超过阀值 10 点，你的意志对抗检定 +10。</t>
  </si>
  <si>
    <t>兽性主宰</t>
  </si>
  <si>
    <t>感应一只动物的情感并控制它，该动物必须服从你的任何命令。维持灵能的每一轮，你可以花费一个反射动作为动物下命令。命令必须足够简单，例如“来”，“守卫”，“逃”，“跟上”，“攻击”等等。动物会以它认为最好的方式执行你的命令。如果你的命令不合动物的天性，动物可以进行意志检定来摆脱控制。脱离你控制的动物会如何行动取决于你刚才对待它的方式。</t>
  </si>
  <si>
    <t>思维扫描</t>
  </si>
  <si>
    <t>长期动作</t>
  </si>
  <si>
    <t>思维扫描用于深入目标的大脑，探寻埋藏在目标心中的任何秘密。施展这个灵能是一个为时5轮的长期动作，在此期间你必须始终与目标保持接触。施展灵能的每一轮，你和目标都要进行意志对抗检定，如果目标胜出，表示他成功将你的意识赶出了他的脑子，该灵能立刻终止。如果你胜出，则可以得到以下信息:
第一轮(连接) 信息:灵能者连接上目标的意识，了解了对方的基本信息，例如姓名情绪，失心等级，身体状态等等。
第二轮(表层思维)信息:灵能者访问目标的表层意识，了解对方目前的想法，例如对灵能者的看法，片刻的恐惧，蓄意的谎言，或者突然浮现在目标脑中的某个地点，物品，事件或者人(例如目标的爱人，私人房间，珍贵的传家宝，或异教的仪式)。灵能者不知道这些信息的具体含义——只能得到相关的情绪反应。目标的堕落等级也随之被了解。
第三轮(短期记忆)信息:灵能者了解目标过去 12 小时内的全部记忆，并可能揭示两个意义重大的地点，物品，事件或者人——同样不清楚具体含义，只能得到相关的情绪反应。灵能者还可以挖掘出简单的密码和目标的习性(例如房间的密钥，习惯的上班路线，银行识别码，常用的技能，天赋，和属性)。
第四轮(潜意识) 信息:灵能者详细地了解到前文提到的地点，物品，事件或者人对于目标重要性，以及它们的相互关联。目标的信念，性格，个人目标等等也都直接被灵能者接收到。复杂的暗语也被揭示出来。灵能者还能体会到目标一生中的关键时刻(最早的记忆，青春期，到达成年等等)
第五轮(裸露的灵魂)信息:灵能者可以随意掠取目标的任何信息。
如果灵能者试图不被目标发现地进行思维扫描，他可以-10意志对抗检定进行隐蔽思维扫描。成功的话目标会感到一阵虚弱，但并不知道自己的思维正被窥探。如果进行正常的思维扫描，目标会意识到自己的头脑被入侵，必然会尝试打断与灵能者的连接，或者展开攻击。</t>
  </si>
  <si>
    <t>无视我</t>
  </si>
  <si>
    <t>这个灵能不止是隐形— 它可以让目标彻底无视你。例如，你攻击一名被施展了“无视我”灵能的帝国守卫，他可能会立刻找掩蔽，寻找攻击来源，防御接下来可能的攻击，等等，但他的目光总是会“正好穿过你”。
施展该灵能之后,选择等于你 WB 数量的目标，对方可以进行意志检定。如果失败，则在你维持灵能期间，目标会彻底无视你——无法看到，听到，闻到，或是以任何方式发现你。
注意该灵能对智力 10 以下的生物无效。</t>
  </si>
  <si>
    <t>每超过阀值5点，你可以多指定个目标，或者让一个目标抵抗该灵能时意志检定 -10。</t>
  </si>
  <si>
    <t>心灵感应</t>
  </si>
  <si>
    <t>你可以将自己的想法发送给周围的人：选定范围内的一些人进行“定点发送”，或者对范围内的所有人进行“广播”。</t>
  </si>
  <si>
    <t>心灵尖啸</t>
  </si>
  <si>
    <t>集中精神迸发出一阵心灵能量的尖啸。范围内的所有生物（无论是否有听觉）都会感受到这阵尖啸，并需要通过意志检定，否则承受等于灵能者意志加值数量的虚弱。</t>
  </si>
  <si>
    <t>每超过阀值 10 点，影响范围增加10m。</t>
  </si>
  <si>
    <t>意识投射</t>
  </si>
  <si>
    <t>将自己的意识投射出去，与远方的目标建立联系。对方必须是你熟识的人(例如队长，或你服务的审判官)，无论你们相距多远(只要在同一个星系)，你的意识都可以瞬间找到对方。不愿意与你联系的目标可以和你进行意志对抗检定，对方胜出的话你的意识会立刻强制回归肉体。维持灵能期间你的大部分肉体机能停止，如同昏迷。意识投射中的灵能者可以施展任何他已知的传心学科灵能。注意，施展这个灵能会使亚空间生物或其他灵能者能够直接攻击你的意识，因此非常危险。</t>
  </si>
  <si>
    <t>支配意志</t>
  </si>
  <si>
    <t>选定作用范围内的一个目标，进行意志对抗检定，如果你胜出则可以完全支配对方的身体。你可以用自己的回合正常行动或者操纵傀儡。例如，在你的回合，你可以花费部分动作用手枪射击，再用部分动作支配你的傀儡发射爆矢。傀儡的行动仍然使用他自己的属性，但所有检定-10。显而易见的自杀行为会让傀儡获得额外的意志对抗检定机会(对方意志+20)以摆脱你的控制。该灵能只能影响肌肉活动，对心理活动无效，因此你无法命令目标说实话，或者使用灵能。</t>
  </si>
  <si>
    <t>植魂咒</t>
  </si>
  <si>
    <t>这个灵能让你可以通过在一个人的脑海中种下一颗影响意识的种子；你可以在未来通过这个灵能“锁眼”打开目标的心灵，并将他的意志置于你的控制之下。
在施展这个灵能的过程中，灵能者必须始终保持与受术者的接触。如果二者的接触在灵能者赢得意志对抗前被中断，这个灵能就得从头再释放。
每个回合，灵能者和受术者进行一次意志对抗。这场对抗将持续到有一方累计了 5 成功度为止。如果是受术者首先打到了 5 成功度，那么这个灵能就失败了，且这名受术者的意识永远也不会被该灵能者的植魂咒影响。
如果灵能者先达到了 5 成功度，他们便成功将影响植入了目标的思想，受术者将在灵能者成功释放如下灵能时无法反抗地受到影响：强迫行动，支配意志，暗示和支配领域。</t>
  </si>
  <si>
    <t>每超过阈值 10 点，你在意志对抗中就会获得+10 加值。</t>
  </si>
  <si>
    <t>灵魂杀手</t>
  </si>
  <si>
    <t>自身周围半径 5+WB 米</t>
  </si>
  <si>
    <t>你发射出一道带有单一命令的灵能波动，范围内所有人（不分敌我）都必须进行一次与你的意志对抗。你只需要掷一次骰子来对抗所有受到影响的人。任何输掉对抗的人都必须如同中了强迫行动灵能（见黑暗异端第 198 页）那样听从你的行动。你对范围内所发送的命令仅有一条。</t>
  </si>
  <si>
    <t>血肉面具</t>
  </si>
  <si>
    <t>特殊</t>
  </si>
  <si>
    <t>你向亚空间的力量祈求，以此改变自身血肉，转换你的物理身份。这并非单纯的幻象，而是实实在在的肉体变形，能够改变你的面部结构、瞳色、发色、声音、肤色，甚至还能改变你的体型、外貌年龄等。将此秘仪与伪装技能结合使用，甚至可以模仿特定的个体。
变形效果最多可以持续使用者意志加值个小时，也可以随时解除，届时施术者将恢复其原本的模样。当巫师变回原形时，其必须立即进行一次难度为挑战（+0）的坚韧检定，否则将因剧痛与身体劳损而承受 1d5 级虚弱。
特殊：如果巫师在使用此能力时遭遇亚空间危险，则在原本的效果之外，巫师还会额外获得一项随机的永久次级变异（见《黑暗异端》第 334 页）。</t>
  </si>
  <si>
    <t>每超过阈值 5 点，施术者便可实现更大幅度的改变（超过阈值 5 点，你可以模仿外貌细节，比如帮派纹身、烙印等；超过阈值 10 点，你可以改变你的体重，但上下浮动不能超过 50%，你也可以从外表上模仿变异特征；超过阈值 15 点及以上，你可以改变性别，或变成其他近似人形的生物。然而，这些改变仅限于外在，并不具备任何生物学功能。即，巫师可以让自己看起来像一头兽人，但不会因此获得任何兽人特性）。</t>
  </si>
  <si>
    <t>死亡信使</t>
  </si>
  <si>
    <t>你将命运之线缠结扭转，以达致命效果，使敌人在你的攻势前倒下，仿佛其死亡乃是命中注定。
巫师发动的下一次成功命中的攻击，视为拥有撕裂特性。若该次攻击已经因其所用的武器而具备撕裂特性，则效果改为投掷三枚伤害骰，并取其中最高值。若 10 轮内巫师未能命中任何目标，此能力失效。</t>
  </si>
  <si>
    <t>每超过阈值 10 点，后续就有一次额外的成功命中受到能力影响。</t>
  </si>
  <si>
    <t>亚空间低语</t>
  </si>
  <si>
    <t>听力范围内</t>
  </si>
  <si>
    <t>亚空间回荡的低语将你的说服能力提升至异乎寻常的水平。
任何能听见并理解巫师话语的生物，都必须与巫师进行一次意志对抗检定（巫师仅需掷骰一次，并将结果应用于所有对抗者），对抗失败的生物将变得极易受巫师的暗示影响。你对这些听众采取的任何吸引力、恐吓或欺诈检定，均获得 +10 加值。
注意：这项能力并非真正意义上的直接精神操控，但可以用来消除理智、挑拨离间、减轻怀疑，或是点燃仇恨之火。
特殊：施展这项能力无需任何手势或材料成分，但受害者必须能够听见并理解巫师的话语。</t>
  </si>
  <si>
    <t>每超过阈值 10 点，巫师在特定技能上的检定额外 +10，最高可达 +30。</t>
  </si>
  <si>
    <t>真理启示</t>
  </si>
  <si>
    <t>20 米半径</t>
  </si>
  <si>
    <t>巫师扭曲自身周围的现实，扰乱时间，并往空气中塞满恶魔的低语与幻象。身处附近的敌人必须应对接踵而来的辱骂与诱惑、骇人的秘闻以及颠覆心智的异象。这份重负，完全足以将一个人逼疯。
范围内的角色必须通过一次难度为艰难（-10）的意志检定，否则将遭受亚空间惊吓，就如同其面对恶魔生物时恐惧检定失败一样。拥有无所畏惧天赋或异界存在特性的角色对此免疫。</t>
  </si>
  <si>
    <t>每超过阈值 5 点，范围半径增加 5 米。</t>
  </si>
  <si>
    <t>恶魔咒阵</t>
  </si>
  <si>
    <t>高阶秘仪</t>
  </si>
  <si>
    <t>通过编织亚空间能量的术式，巫师可以尝试驱退、困缚并夺取对恶魔实体的控制权。
施展成功后，巫师可与目标恶魔生物进行意志对抗检定，以此对其施加厄咒。或者，如果目标恶魔的意志属性为 50 或更低，则巫师可改为强制进行一次恶魔掌控检定来支配它。
特殊：这项能力仅能影响同时具有恶魔特性和亚空间不稳定特性的实体。</t>
  </si>
  <si>
    <t xml:space="preserve">每超过阈值 5 点，巫师在意志对抗和恶魔掌控检定上便获得 +10 加值。
</t>
  </si>
  <si>
    <t>恶毒诅咒</t>
  </si>
  <si>
    <t>视线范围内</t>
  </si>
  <si>
    <t>阈值：祸祟 16；致盲 20；催命 23
你祈求扭曲交缠的恶性能量，为受害者带去灾祸与诅咒。此处列出了三种不同的诅咒形式，当然，世上的诅咒形式显然不止于此。无论面对何种诅咒，受害者均可尝试通过一次难度为挑战（+0）的意志检定，以此抵抗诅咒效果。
祸祟 Hex：受害者饱受厄运缠身、蚀骨寒意与超自然的恐惧折磨。在接下来的 1d5 小时内，受害者的所有属性检定与技能检定均承受 -10 减值。若抵抗此能力的检定失败度为 3 及以上，受害者还必须额外在表 8-4：震惊（Shock）上掷骰（见《黑暗异端》第 233 页），此情形被视作亚空间惊吓。
致盲 Blindness：受害者的双眼被白内障填满，泣出血泪，陷入失明状态，持续 1d5 小时。若抵抗此巫术的检定失败度为 3 及以上，受害者的双眼会在血雨飞溅中被摧毁，对头部造成 1d10 R 伤害，并且会永久失明（若其幸存，则需更换假眼）。双眼被摧毁还会带给受害者 1d10 点失心。
催命 Death：通过遏停心跳、引爆血管、撕裂内脏以及其他种种可怖方式，此诅咒的威力足以使人丧失行动能力，甚至致人死亡。受害者遭受 3d10+10 点坚韧伤害（若其具有超自然坚韧（x2）等特性，则伤害减半）。受害者的坚韧降至 0 点时，其立即死亡。若此诅咒的受害者存活下来，则坚韧伤害可如常治疗。
注意：因诅咒而死时，受害者可以燃烧 1 命运点来避免暴毙，并恢复 1d5 坚韧。但受害者会陷入昏迷状态，亟需紧急救治。
特殊：每次施展诅咒时，巫师必须通过一次难度为挑战（+0）的意志检定，否则其获得 1d5 点堕落。</t>
  </si>
  <si>
    <t>每超过阈值 5 点，受害者抵抗诅咒的检定难度便提高一级，最高难度为艰巨（-30）。</t>
  </si>
  <si>
    <t>地狱爆破</t>
  </si>
  <si>
    <t>5m x 意志加值</t>
  </si>
  <si>
    <t>使用此能力时，你可以从亚空间引导能量，向受害者投掷一团纯粹的毁灭性爆流，将其点燃并炸成碎片。如同远程攻击一般，你进行一次远程技巧（BS）检定以命中目标。检定成功时，你的攻击造成 1d10+WB E 伤害。这次伤害视为具备亚空间武器特性，因此可以穿透大多数护甲与防御。</t>
  </si>
  <si>
    <t>每超过阈值 10 点，便额外造成 1d10 点伤害。</t>
  </si>
  <si>
    <t>黑暗导能</t>
  </si>
  <si>
    <t>巫师从亚空间中汲取扭曲力量，用以增强和维系范围内的恶魔生物，巩固恶魔在现实世界的存在，并强化其力量。
作用范围内，任何拥有恶魔特性的生物获得再生特性，其先攻 +1，并在抵抗亚空间不稳定时获得 +10 加值。
特殊：巫师需要为引导这些邪恶能量支付代价。维持灵能的每一轮，施术者都必须通过一次难度为困难（-10）的坚韧检定，否则将失去 1 点承伤。</t>
  </si>
  <si>
    <t>每超过阈值 10 点，范围半径增加 10 米。</t>
  </si>
  <si>
    <t>恶意风暴</t>
  </si>
  <si>
    <t>50 米半径</t>
  </si>
  <si>
    <t>巫师借助亚空间中那些经由灵能回响而传播开的恶意、偏执与仇恨，将突如其来的狂怒、恐慌与杀意，灌注进毫无防备之人的心智中去，并由此引发致命后果。这股情绪浪潮足以将一群普通人变成施暴的狂徒，引起大规模的群体癫狂与血腥暴乱。在能力生效期间，身处范围内的所有活物，每轮必须通过一次难度为挑战（+0）的意志检定，否则便会陷入极度危险且充满暴力的狂怒状态。依据其各自的心智状况，他们要么会疯狂攻击任何触手可及的人，要么会因极度恐惧而四散奔逃。如果受害者屈从于这项能力，其所带来的直接影响将持续到维持结束，再加上额外 1d10 轮。
这项能力属于灵能攻击，同时也被视为恐惧效果，因此能够抵抗恐惧的天赋和特性，对这项能力同样有效。</t>
  </si>
  <si>
    <t>每超过阈值 10 点，范围半径翻倍。</t>
  </si>
  <si>
    <t>时间扭曲</t>
  </si>
  <si>
    <t>巫师使自己与周围现实及时间的流动略微错相。巫师的身形变得模糊且飘忽不定，其过去与未来各种可能行动的阴影相互重叠，如幽灵般环绕其身周。
能力生效期间，巫师变得极难被击中，任何对其发起的攻击检定承受 -20 减值。此外，如果巫师在 1d10 中掷出奇数结果（即1、3、5、7、9），则任何成功命中将被抵消，除非该次攻击使用灵能、来自受祝（Blessed）或神圣（Holy）武器，或是具备亚空间武器特性。
特殊：如果巫师遭受亚空间危险，则时间反冲将撕裂巫师自身，对其造成 3d10 E 伤害。</t>
  </si>
  <si>
    <t>每超过阈值 5 点，此能力在维持中断后，效果额外持续 1 轮。</t>
  </si>
  <si>
    <t>创造门扉</t>
  </si>
  <si>
    <t>5m</t>
  </si>
  <si>
    <t>巫师凭空召唤出一道燃烧的门扉。这道门扉可用于将巫师传送至他脑海中能清晰回忆起的任何地方。巫师的玩家必须告知游戏主持人他希望门扉通向何处；游戏主持人随后会根据巫师上次身处该地的时间、其心智状态、周遭环境及专注程度，设定一个适当的难度等级。巫师随后可迈步穿过门扉，并基于该难度等级进行智力检定。若检定通过，则一切顺利。若未通过，游戏主持人将决定一个合适的替代目的地——通常是一个巫师宁愿避开的地方。
特殊：穿越如此亵渎的门户，会让使用者比安全限度更接近亚空间的恐怖。任何穿过门扉者都必须通过一个难度为艰难（-20）的意志检定。若检定失败，该角色必须在亚空间危险表上掷骰。
10 米–100 米：常规（+20）；101 米–1000 米：普通（+10）；星球内的任意地点：挑战（+ 0）；星系内的任意地点：困难（-10）；次星区内的任意地点：艰难（-20）；星区内的任意地点：艰巨（-30）</t>
  </si>
  <si>
    <t>疫病</t>
  </si>
  <si>
    <t>巫师轻蔑地一挥手，便将一场瘟疫降于目标身上。目标开始呕出胆汁与鲜血，皮肤上隆起脓包。此疫病持续轮数等于 1d10 减去目标的坚韧加值。目标在染疫期间，全部属性每轮降低 10 点。若其坚韧降低至零，则目标死亡。
超量释放：每超过阈值 5 点，疫病的持续时间增加 1 轮。
特殊：若一名角色死于疫病，其灵魂将归于瘟疫之主纳垢。倒下的尸体会进一步腐烂，并在 5 轮后作为一只瘟疫使者（Plaguebearer）站起（见《黑暗异端》规则书第 354 页）。瘟疫使者会立即攻击附近的任何生物。</t>
  </si>
  <si>
    <t>失血术</t>
  </si>
  <si>
    <t>巫师朝目标打个响指并吼出一段咒文，使目标的血液沸腾、涌出体外。巫师用意志与目标的坚韧对抗。若对抗成功，目标承受等同于巫师意志加值两倍的伤害（坚韧加值与护甲无法减免此伤害），并会陷入失血状态（见《黑暗异端》规则书第 211 页）。</t>
  </si>
  <si>
    <t>颅骨连枷</t>
  </si>
  <si>
    <t>巫师以亚空间为索，将亡者的颅骨束缚在一起，打造出一把燃烧着恶意的颅骨连枷。颅骨连枷显现后，其数据与普通连枷相同（见《黑暗异端》规则书第 139 页），但具有亚空间武器特性，能够绕过大多数护甲与防御。任何受到颅骨连枷伤害的目标将获得 1d10 点失心，并且从第二颗颅骨之后算起，每多使用一颗颅骨打造此连枷，便额外造成 1 点失心。
特殊：显然，使用此能力需要巫师拥有至少一颗颅骨。</t>
  </si>
  <si>
    <t>燃烧之语</t>
  </si>
  <si>
    <t>巫师张开嘴巴，将其作为亚空间烈焰的门户。此能力造成 1d10+4 E 伤害，并具有 3 点破甲。其效果范围可延伸至 20 米，并具有火焰特性。此外，由于这些火焰的超自然本质，任何被此能力效果影响的目标都会自动着火（on fire）（见《黑暗异端》规则书第 210 页）。
特殊：在此能力施展期间，巫师无法进行口头交流；这可能会阻止巫师施放某些其他能力。</t>
  </si>
  <si>
    <t>免疫冲击</t>
  </si>
  <si>
    <t>巫师吞下一颗实弹弹药，以此强化自身躯体，抵御投射物与粗制武器的攻击。巫师必须通过一次坚韧检定。若检定成功，巫师在 1d5 轮内免疫任何冲击伤害（Impact Type Damage）。</t>
  </si>
  <si>
    <t>汲食生命</t>
  </si>
  <si>
    <t>巫师将手指插入目标的血肉，吸收其生命力，直至目标仅剩一具干枯的躯壳。这一能力仅能作用于处在眩晕状态或其他无力反抗的目标。每超过阈值 5 点，巫师便恢复 1 点承伤，同时目标的承伤减少 1 点。巫师恢复的承伤数不能超过其原本的承伤上限。如果目标的承伤降低至零，则目标死亡。</t>
  </si>
  <si>
    <t>活体武器</t>
  </si>
  <si>
    <t>巫师将混沌的邪秽符号刻入自己的血肉之中，呼唤亚空间重塑其肉身以应对战斗。在能力生效期间，巫师的属性获得以下提升：近战技巧 +20、力量 +20、坚韧 +10、敏捷 +10。此外，巫师在所有先攻检定中获得 +3 加值，获得天生武器特性，且其所有近战攻击均获得撕裂特性。在此等兽性状态下，他的交际降低 10 点。</t>
  </si>
  <si>
    <t>开启</t>
  </si>
  <si>
    <t>巫师用自己的鲜血在一道封闭的门户或物件上描画出一个亵渎的符文，从而瓦解锁闭机制的实质。这一能力可用于任何物体，无论其原本是如何被封闭的。巫师在开启小型物体时承受 1d5 点伤害；开启中型物体时承受 1d10 点伤害；开启大型物体时承受 2d10 点伤害。游戏主持人可以自由调整伤害数值，以更贴合特定物体的情况。这种伤害不能被巫师的护甲或坚韧加值减免。</t>
  </si>
  <si>
    <t>灵能屏障</t>
  </si>
  <si>
    <t>巫师用蘸血的手指在空中画出一道燃烧的符文，该符文以恐惧与困惑交织之力灼烧附近之人的心智。任何想要朝符文前进者，必须通过一个难度为困难（-10）的意志检定，否则会因恐惧而呆立原地。未能通过意志检定的目标在该回合内无法进行任何行动。</t>
  </si>
  <si>
    <t>召唤物体</t>
  </si>
  <si>
    <t>通过放血仪式，巫师凭空召唤出一件物体。巫师的玩家必须向游戏主持人描述其希望显现的物体。游戏主持人随后设定一个难度等级。为使物体显现，巫师必须通过该难度等级的意志检定。
注意：显然，你想召唤的物体越大，所需献出的血液就越多。</t>
  </si>
  <si>
    <t>每超过阈值 10 点，巫师在召唤物体的意志检定中就获得 +10 加值。</t>
  </si>
  <si>
    <t>摄人心神</t>
  </si>
  <si>
    <t>巫师将近期死去之人的血液弹到目标脸上，并在嗓中低语着诅咒，使目标陷入可怕的幻觉。受害者将目睹黑暗与绝望的恐怖景象。在悲痛与情感瘫痪之下，目标被完全定住。除非通过一个难度为艰巨（-30）的意志检定，否则目标在一小时内无法做任何事，同时获得 1d5 点失心。
特殊：巫师需要一些相当新鲜的血液才能正常施展此能力。如果巫师无法获取血液，则需在阈值为 25 的情况下施展。</t>
  </si>
  <si>
    <t>灵魂之墙</t>
  </si>
  <si>
    <t>15m</t>
  </si>
  <si>
    <t>巫师汲取亚空间的力量，召唤出一道由咧嘴狞笑的以太面孔组成的墙壁，以阻挡敌人的去路。灵魂之墙显现后，其宽与高均为 15 米。穿过或穿透此墙虽然容易，但需付出代价。任何不幸在墙显现时被其击中、撞上墙壁或从中穿过的个体，将承受 2d10 点失心，并且必须通过一个难度为普通（+10）的坚韧检定，否则陷入眩晕状态。
超量释放：每超过阈值 10 点，墙的高度可以多增加 1 米。
特殊：若巫师在施展此能力时失败，且失败度达到 2 及以上，那些以太面孔仍会被召唤出来，并像蝇群一样蜂拥环绕在巫师自身周围。巫师获得 1d10 点失心，并在该轮剩余时间内无法进行任何行动——他只能抱头挣扎，试图维系自己残存的心智。</t>
  </si>
  <si>
    <t>亚空间腐化</t>
  </si>
  <si>
    <t>巫师高声呼喊出亚空间的黑暗真相，从而腐化周围之人的灵魂。每一个听到巫师诵咒的人——无论敌友，都必须通过一次意志检定，否则获得等值于失败度数的堕落点。</t>
  </si>
  <si>
    <t>亚空间闪电</t>
  </si>
  <si>
    <t>巫师以古老的语言低吟，在掌心显现出一颗脉动的能量球。巫师伸出另一只手的手指，向目标释放出黑暗的亚空间闪电矢。巫师单次可以发射出的闪电矢数量等于其灵能等级，且只要前后目标相距不超过 5 米，便可将每道闪电矢指向不同的个体。为每道闪电矢进行远程技巧（BS）检定，如常判定命中。若被闪电矢击中，目标必须掷 1d10 并减去其坚韧加值，然后对照能量伤害致命效果表（见《黑暗异端》规则书第 202-203页）应用结果。</t>
  </si>
  <si>
    <t>亚空间之舌</t>
  </si>
  <si>
    <t>巫师扭曲亚空间中的不谐之音，愚弄恶魔使其相信自己是一名次级传令官（minor herald）。任何拥有恶魔特性的生物，在听到巫师的声音后，必须通过一次意志对抗检定，否则将极易受到巫师的暗示影响。在面对这些目标时，巫师在所有吸引力、恐吓或欺诈技能检定上获得 +10 加值。如果恶魔在对抗检定中胜出，则其对巫师进行的所有检定（包括近战技巧（WS）检定）获得 +10 加值。
特殊：此能力仅要求目标必须能听见巫师的声音。</t>
  </si>
  <si>
    <t>每超过阈值 10 点，巫师在面对拥有恶魔特性的生物时，其吸引力、恐吓或欺诈技能检定再获得 +10 加值。</t>
  </si>
  <si>
    <t>亚空间活力</t>
  </si>
  <si>
    <t>巫师用血与灰的混合物在目标额头上标记出一个燃烧的符文。通过这一符文，目标能够汲取超自然的韧性储备。以此法标记的角色，在进行任何力量或坚韧对抗检定时可以重掷一次，并且在能力生效期间额外获得 5 点承伤。这些角色所受的任何伤害，都会优先扣除额外承伤，再影响剩余承伤。符文将持续保护该角色一个小时。
特殊：任何身体被此邪秽符号所玷污的角色，获得 1d10 点堕落。</t>
  </si>
  <si>
    <t>苦痛浩劫</t>
  </si>
  <si>
    <t>其他灵能</t>
  </si>
  <si>
    <t>以苦痛之拥为中心，10 米半径内</t>
  </si>
  <si>
    <t>苦痛之拥（见第 131 页）的受害者每时每刻承受着难以想象的剧痛与绝望。他们在生与死间遭受不死的折磨，一边是恶魔对其灵魂的啃噬，一边是肉体永无止境的消亡。经由亚空间的回响与放大，苦痛之拥的受害者能将这种难耐的折磨施加于他人，产生粉碎性的效果。他们能撕裂其周围的现实，将实体物质、血肉与心智一并击溃。
爆炸范围内的一切事物都将承受 2d10 R 伤害。该伤害无视除力场防护或护符（Field effects or wards）之外的任何护甲，且受创者将被巨大的力量向后击飞（与凶猛投掷灵能等效）。任何在此攻击下幸存的生物都必须通过一次难度为艰难（-20）的恐惧检定，否则将遭受亚空间惊吓。</t>
  </si>
  <si>
    <t>生涯职业</t>
  </si>
  <si>
    <t>骰点倍数</t>
  </si>
  <si>
    <t>骰点范围</t>
  </si>
  <si>
    <r>
      <rPr>
        <sz val="11"/>
        <rFont val="黑体"/>
        <charset val="134"/>
      </rPr>
      <t>王座币</t>
    </r>
    <r>
      <rPr>
        <sz val="11"/>
        <rFont val="黑体"/>
        <charset val="134"/>
      </rPr>
      <t>/</t>
    </r>
    <r>
      <rPr>
        <sz val="11"/>
        <rFont val="黑体"/>
        <charset val="134"/>
      </rPr>
      <t>月</t>
    </r>
  </si>
  <si>
    <t>等级提升</t>
  </si>
  <si>
    <t>文研员</t>
  </si>
  <si>
    <t>D10</t>
  </si>
  <si>
    <t>行伍（卫队士兵）</t>
  </si>
  <si>
    <r>
      <rPr>
        <sz val="11"/>
        <color rgb="FF000000"/>
        <rFont val="黑体"/>
        <charset val="134"/>
      </rPr>
      <t>执法者</t>
    </r>
    <r>
      <rPr>
        <sz val="11"/>
        <color rgb="FF000000"/>
        <rFont val="黑体"/>
        <charset val="134"/>
      </rPr>
      <t>/</t>
    </r>
    <r>
      <rPr>
        <sz val="11"/>
        <color rgb="FF000000"/>
        <rFont val="黑体"/>
        <charset val="134"/>
      </rPr>
      <t>法务官</t>
    </r>
  </si>
  <si>
    <t>仆役（法务官、灵能者）</t>
  </si>
  <si>
    <t>杀手</t>
  </si>
  <si>
    <t>学者（文研员）</t>
  </si>
  <si>
    <t>牧师</t>
  </si>
  <si>
    <t>商人（杀手）</t>
  </si>
  <si>
    <t>卫队士兵</t>
  </si>
  <si>
    <t>技术（技术神甫）</t>
  </si>
  <si>
    <t>帝国灵能者</t>
  </si>
  <si>
    <t>D5</t>
  </si>
  <si>
    <t>宗教（牧师）</t>
  </si>
  <si>
    <t>流氓</t>
  </si>
  <si>
    <t>贵族</t>
  </si>
  <si>
    <t>技术神甫</t>
  </si>
  <si>
    <t>战斗修女</t>
  </si>
  <si>
    <t>携带</t>
  </si>
  <si>
    <t>缩写</t>
  </si>
  <si>
    <t>AB</t>
  </si>
  <si>
    <t>部分移动</t>
  </si>
  <si>
    <t>完整移动</t>
  </si>
  <si>
    <t>冲刺</t>
  </si>
  <si>
    <t>体型</t>
  </si>
  <si>
    <t>检定调整</t>
  </si>
  <si>
    <t>起源</t>
  </si>
  <si>
    <t>“外表的变异，揭示着内心的腐化。”
以一个次级变异状态开始游戏。</t>
  </si>
  <si>
    <t>格</t>
  </si>
  <si>
    <t>0.75km</t>
  </si>
  <si>
    <t>7km</t>
  </si>
  <si>
    <t>微小</t>
  </si>
  <si>
    <t>野蛮世界</t>
  </si>
  <si>
    <r>
      <rPr>
        <sz val="12"/>
        <rFont val="黑体"/>
        <charset val="134"/>
      </rPr>
      <t>“只有疯狂者才有成功所需的力量，只有成功者才有权定义何为理智。”以</t>
    </r>
    <r>
      <rPr>
        <sz val="12"/>
        <rFont val="黑体"/>
        <charset val="134"/>
      </rPr>
      <t>2</t>
    </r>
    <r>
      <rPr>
        <sz val="12"/>
        <rFont val="黑体"/>
        <charset val="134"/>
      </rPr>
      <t>点失心点数状态开始游戏。</t>
    </r>
  </si>
  <si>
    <t>射</t>
  </si>
  <si>
    <t>24m</t>
  </si>
  <si>
    <t>1.5km</t>
  </si>
  <si>
    <t>15km</t>
  </si>
  <si>
    <t>超小</t>
  </si>
  <si>
    <t>帝国世界</t>
  </si>
  <si>
    <t>力</t>
  </si>
  <si>
    <t>48m</t>
  </si>
  <si>
    <t>3km</t>
  </si>
  <si>
    <t>30km</t>
  </si>
  <si>
    <t>小型</t>
  </si>
  <si>
    <t>巢都世界</t>
  </si>
  <si>
    <r>
      <rPr>
        <sz val="12"/>
        <rFont val="黑体"/>
        <charset val="134"/>
      </rPr>
      <t>“罪恶越是深藏于内心，越是能够腐化人的一切。”
以</t>
    </r>
    <r>
      <rPr>
        <sz val="12"/>
        <rFont val="黑体"/>
        <charset val="134"/>
      </rPr>
      <t>3</t>
    </r>
    <r>
      <rPr>
        <sz val="12"/>
        <rFont val="黑体"/>
        <charset val="134"/>
      </rPr>
      <t>点堕落点数开始游戏。</t>
    </r>
  </si>
  <si>
    <t>坚</t>
  </si>
  <si>
    <t>72m</t>
  </si>
  <si>
    <t>4km</t>
  </si>
  <si>
    <t>40km</t>
  </si>
  <si>
    <t>中型</t>
  </si>
  <si>
    <t>虚空</t>
  </si>
  <si>
    <t>敏</t>
  </si>
  <si>
    <t>96m</t>
  </si>
  <si>
    <t>6km</t>
  </si>
  <si>
    <t>60km</t>
  </si>
  <si>
    <t>大型</t>
  </si>
  <si>
    <t>铸造世界</t>
  </si>
  <si>
    <t>智</t>
  </si>
  <si>
    <t>120m</t>
  </si>
  <si>
    <t>70km</t>
  </si>
  <si>
    <t>超大</t>
  </si>
  <si>
    <t>被洗脑者</t>
  </si>
  <si>
    <t>感</t>
  </si>
  <si>
    <t>144m</t>
  </si>
  <si>
    <t>9km</t>
  </si>
  <si>
    <t>90km</t>
  </si>
  <si>
    <t>巨大</t>
  </si>
  <si>
    <t>贵族出身</t>
  </si>
  <si>
    <r>
      <rPr>
        <sz val="12"/>
        <rFont val="黑体"/>
        <charset val="134"/>
      </rPr>
      <t>“所谓清白无辜，只是虚妄的假象。”
以</t>
    </r>
    <r>
      <rPr>
        <sz val="12"/>
        <rFont val="黑体"/>
        <charset val="134"/>
      </rPr>
      <t>1</t>
    </r>
    <r>
      <rPr>
        <sz val="12"/>
        <rFont val="黑体"/>
        <charset val="134"/>
      </rPr>
      <t>点失心点和</t>
    </r>
    <r>
      <rPr>
        <sz val="12"/>
        <rFont val="黑体"/>
        <charset val="134"/>
      </rPr>
      <t>1</t>
    </r>
    <r>
      <rPr>
        <sz val="12"/>
        <rFont val="黑体"/>
        <charset val="134"/>
      </rPr>
      <t>点堕落点状态开始游戏。</t>
    </r>
  </si>
  <si>
    <t>意</t>
  </si>
  <si>
    <t>168m</t>
  </si>
  <si>
    <t>10km</t>
  </si>
  <si>
    <t>100km</t>
  </si>
  <si>
    <t>忠嗣学院</t>
  </si>
  <si>
    <r>
      <rPr>
        <sz val="12"/>
        <rFont val="黑体"/>
        <charset val="134"/>
      </rPr>
      <t>“黑暗的迷梦徘徊在心门之内。”
以</t>
    </r>
    <r>
      <rPr>
        <sz val="12"/>
        <rFont val="黑体"/>
        <charset val="134"/>
      </rPr>
      <t>2</t>
    </r>
    <r>
      <rPr>
        <sz val="12"/>
        <rFont val="黑体"/>
        <charset val="134"/>
      </rPr>
      <t>点堕落点数开始游戏。</t>
    </r>
  </si>
  <si>
    <t>交</t>
  </si>
  <si>
    <t>192m</t>
  </si>
  <si>
    <t>12km</t>
  </si>
  <si>
    <t>120km</t>
  </si>
  <si>
    <t>圣殿世界</t>
  </si>
  <si>
    <t>216m</t>
  </si>
  <si>
    <t>13km</t>
  </si>
  <si>
    <t>130km</t>
  </si>
  <si>
    <t>辅秘修会门徒</t>
  </si>
  <si>
    <t>240m</t>
  </si>
  <si>
    <t>14km</t>
  </si>
  <si>
    <t>140km</t>
  </si>
  <si>
    <t>修道院的培养</t>
  </si>
  <si>
    <r>
      <rPr>
        <sz val="12"/>
        <rFont val="黑体"/>
        <charset val="134"/>
      </rPr>
      <t>“与天谴之堕落相比，子弹带来的痛苦无异极乐。”
坚韧</t>
    </r>
    <r>
      <rPr>
        <sz val="12"/>
        <rFont val="黑体"/>
        <charset val="134"/>
      </rPr>
      <t>+1</t>
    </r>
    <r>
      <rPr>
        <sz val="12"/>
        <rFont val="黑体"/>
        <charset val="134"/>
      </rPr>
      <t>。</t>
    </r>
  </si>
  <si>
    <t>卡利西斯战斗舰队</t>
  </si>
  <si>
    <t>黄昏星</t>
  </si>
  <si>
    <r>
      <rPr>
        <sz val="12"/>
        <rFont val="黑体"/>
        <charset val="134"/>
      </rPr>
      <t>炮铜城</t>
    </r>
    <r>
      <rPr>
        <sz val="12"/>
        <rFont val="黑体"/>
        <charset val="134"/>
      </rPr>
      <t>/</t>
    </r>
    <r>
      <rPr>
        <sz val="12"/>
        <rFont val="黑体"/>
        <charset val="134"/>
      </rPr>
      <t>铁灰城</t>
    </r>
  </si>
  <si>
    <t>玛卡贝斯五号</t>
  </si>
  <si>
    <r>
      <rPr>
        <sz val="12"/>
        <rFont val="黑体"/>
        <charset val="134"/>
      </rPr>
      <t>“在外种族异形得以开口欺骗之前将其处死。”
敏捷</t>
    </r>
    <r>
      <rPr>
        <sz val="12"/>
        <rFont val="黑体"/>
        <charset val="134"/>
      </rPr>
      <t>+2</t>
    </r>
    <r>
      <rPr>
        <sz val="12"/>
        <rFont val="黑体"/>
        <charset val="134"/>
      </rPr>
      <t>。</t>
    </r>
  </si>
  <si>
    <t>锡诺菲亚</t>
  </si>
  <si>
    <t>沃尔格芬克斯</t>
  </si>
  <si>
    <t>凋零学院</t>
  </si>
  <si>
    <r>
      <rPr>
        <sz val="12"/>
        <rFont val="黑体"/>
        <charset val="134"/>
      </rPr>
      <t>“所谓事实，不过是一种主观虚饰。”
智力</t>
    </r>
    <r>
      <rPr>
        <sz val="12"/>
        <rFont val="黑体"/>
        <charset val="134"/>
      </rPr>
      <t>+3</t>
    </r>
    <r>
      <rPr>
        <sz val="12"/>
        <rFont val="黑体"/>
        <charset val="134"/>
      </rPr>
      <t>，以</t>
    </r>
    <r>
      <rPr>
        <sz val="12"/>
        <rFont val="黑体"/>
        <charset val="134"/>
      </rPr>
      <t>3</t>
    </r>
    <r>
      <rPr>
        <sz val="12"/>
        <rFont val="黑体"/>
        <charset val="134"/>
      </rPr>
      <t>点堕落点数开始游戏。</t>
    </r>
  </si>
  <si>
    <t>黑暗要塞</t>
  </si>
  <si>
    <t>巢都变种人</t>
  </si>
  <si>
    <t>马尔菲的诅咒血脉</t>
  </si>
  <si>
    <r>
      <rPr>
        <sz val="12"/>
        <rFont val="黑体"/>
        <charset val="134"/>
      </rPr>
      <t>“了解变异者；消灭变异者。”
感知</t>
    </r>
    <r>
      <rPr>
        <sz val="12"/>
        <rFont val="黑体"/>
        <charset val="134"/>
      </rPr>
      <t>+2</t>
    </r>
    <r>
      <rPr>
        <sz val="12"/>
        <rFont val="黑体"/>
        <charset val="134"/>
      </rPr>
      <t>。</t>
    </r>
  </si>
  <si>
    <t>自定义起源</t>
  </si>
  <si>
    <r>
      <rPr>
        <sz val="12"/>
        <rFont val="黑体"/>
        <charset val="134"/>
      </rPr>
      <t>“即使是一无所有的人，依然可以贡献自己的生命。”
力量</t>
    </r>
    <r>
      <rPr>
        <sz val="12"/>
        <rFont val="黑体"/>
        <charset val="134"/>
      </rPr>
      <t>+2</t>
    </r>
    <r>
      <rPr>
        <sz val="12"/>
        <rFont val="黑体"/>
        <charset val="134"/>
      </rPr>
      <t>。</t>
    </r>
  </si>
  <si>
    <t>“如果一项任务值得做，它值得你付出生命。”
得到狂暴天赋。</t>
  </si>
  <si>
    <r>
      <rPr>
        <sz val="12"/>
        <rFont val="黑体"/>
        <charset val="134"/>
      </rPr>
      <t>“只有死亡才是职责终结之时。”
承伤</t>
    </r>
    <r>
      <rPr>
        <sz val="12"/>
        <rFont val="黑体"/>
        <charset val="134"/>
      </rPr>
      <t>+1</t>
    </r>
    <r>
      <rPr>
        <sz val="12"/>
        <rFont val="黑体"/>
        <charset val="134"/>
      </rPr>
      <t>。</t>
    </r>
  </si>
  <si>
    <r>
      <rPr>
        <sz val="12"/>
        <rFont val="黑体"/>
        <charset val="134"/>
      </rPr>
      <t>“没有使命的灵魂将在黑暗之中游荡。”
命运点</t>
    </r>
    <r>
      <rPr>
        <sz val="12"/>
        <rFont val="黑体"/>
        <charset val="134"/>
      </rPr>
      <t>+1</t>
    </r>
    <r>
      <rPr>
        <sz val="12"/>
        <rFont val="黑体"/>
        <charset val="134"/>
      </rPr>
      <t>。</t>
    </r>
  </si>
  <si>
    <r>
      <rPr>
        <sz val="12"/>
        <rFont val="黑体"/>
        <charset val="134"/>
      </rPr>
      <t>“生存的战争之中，没有可以划分在外的平民。”
坚韧</t>
    </r>
    <r>
      <rPr>
        <sz val="12"/>
        <rFont val="黑体"/>
        <charset val="134"/>
      </rPr>
      <t>+2</t>
    </r>
    <r>
      <rPr>
        <sz val="12"/>
        <rFont val="黑体"/>
        <charset val="134"/>
      </rPr>
      <t>，承伤</t>
    </r>
    <r>
      <rPr>
        <sz val="12"/>
        <rFont val="黑体"/>
        <charset val="134"/>
      </rPr>
      <t>+1</t>
    </r>
    <r>
      <rPr>
        <sz val="12"/>
        <rFont val="黑体"/>
        <charset val="134"/>
      </rPr>
      <t>。</t>
    </r>
  </si>
  <si>
    <r>
      <rPr>
        <sz val="12"/>
        <rFont val="黑体"/>
        <charset val="134"/>
      </rPr>
      <t>“暴力可以解决所有问题。”
格斗能力</t>
    </r>
    <r>
      <rPr>
        <sz val="12"/>
        <rFont val="黑体"/>
        <charset val="134"/>
      </rPr>
      <t>+3</t>
    </r>
    <r>
      <rPr>
        <sz val="12"/>
        <rFont val="黑体"/>
        <charset val="134"/>
      </rPr>
      <t>。</t>
    </r>
  </si>
  <si>
    <r>
      <rPr>
        <sz val="12"/>
        <rFont val="黑体"/>
        <charset val="134"/>
      </rPr>
      <t>“战争，乃是人性。”
敏捷</t>
    </r>
    <r>
      <rPr>
        <sz val="12"/>
        <rFont val="黑体"/>
        <charset val="134"/>
      </rPr>
      <t>+3</t>
    </r>
    <r>
      <rPr>
        <sz val="12"/>
        <rFont val="黑体"/>
        <charset val="134"/>
      </rPr>
      <t>。</t>
    </r>
  </si>
  <si>
    <r>
      <rPr>
        <sz val="12"/>
        <rFont val="黑体"/>
        <charset val="134"/>
      </rPr>
      <t>“即使在死亡不可避免的时候，精神也不可退缩。”
意志</t>
    </r>
    <r>
      <rPr>
        <sz val="12"/>
        <rFont val="黑体"/>
        <charset val="134"/>
      </rPr>
      <t>+3</t>
    </r>
    <r>
      <rPr>
        <sz val="12"/>
        <rFont val="黑体"/>
        <charset val="134"/>
      </rPr>
      <t>。</t>
    </r>
  </si>
  <si>
    <r>
      <rPr>
        <sz val="12"/>
        <rFont val="黑体"/>
        <charset val="134"/>
      </rPr>
      <t>“枪炮自然比刀剑强大。”
射击能力</t>
    </r>
    <r>
      <rPr>
        <sz val="12"/>
        <rFont val="黑体"/>
        <charset val="134"/>
      </rPr>
      <t>+3</t>
    </r>
    <r>
      <rPr>
        <sz val="12"/>
        <rFont val="黑体"/>
        <charset val="134"/>
      </rPr>
      <t>。</t>
    </r>
  </si>
  <si>
    <r>
      <rPr>
        <sz val="12"/>
        <rFont val="黑体"/>
        <charset val="134"/>
      </rPr>
      <t>“做你兄弟的福星，敌人的克星。”
交际</t>
    </r>
    <r>
      <rPr>
        <sz val="12"/>
        <rFont val="黑体"/>
        <charset val="134"/>
      </rPr>
      <t>+3</t>
    </r>
    <r>
      <rPr>
        <sz val="12"/>
        <rFont val="黑体"/>
        <charset val="134"/>
      </rPr>
      <t>。</t>
    </r>
  </si>
  <si>
    <r>
      <rPr>
        <sz val="12"/>
        <rFont val="黑体"/>
        <charset val="134"/>
      </rPr>
      <t>“人们牺牲自己，所以人类能够继续存活。”
坚韧</t>
    </r>
    <r>
      <rPr>
        <sz val="12"/>
        <rFont val="黑体"/>
        <charset val="134"/>
      </rPr>
      <t>+3</t>
    </r>
    <r>
      <rPr>
        <sz val="12"/>
        <rFont val="黑体"/>
        <charset val="134"/>
      </rPr>
      <t>。</t>
    </r>
  </si>
  <si>
    <r>
      <rPr>
        <sz val="12"/>
        <rFont val="黑体"/>
        <charset val="134"/>
      </rPr>
      <t>“黑暗之中，追随圣地地球的光芒。”
意志</t>
    </r>
    <r>
      <rPr>
        <sz val="12"/>
        <rFont val="黑体"/>
        <charset val="134"/>
      </rPr>
      <t>+3</t>
    </r>
    <r>
      <rPr>
        <sz val="12"/>
        <rFont val="黑体"/>
        <charset val="134"/>
      </rPr>
      <t>。</t>
    </r>
  </si>
  <si>
    <r>
      <rPr>
        <sz val="12"/>
        <rFont val="黑体"/>
        <charset val="134"/>
      </rPr>
      <t>“唯一值得畏惧的，是死去的时候还没有完成你的任务。”
承伤</t>
    </r>
    <r>
      <rPr>
        <sz val="12"/>
        <rFont val="黑体"/>
        <charset val="134"/>
      </rPr>
      <t>+2</t>
    </r>
    <r>
      <rPr>
        <sz val="12"/>
        <rFont val="黑体"/>
        <charset val="134"/>
      </rPr>
      <t>。</t>
    </r>
  </si>
  <si>
    <r>
      <rPr>
        <sz val="12"/>
        <rFont val="黑体"/>
        <charset val="134"/>
      </rPr>
      <t>“思考引发异端，异端招致叛乱。”
力量</t>
    </r>
    <r>
      <rPr>
        <sz val="12"/>
        <rFont val="黑体"/>
        <charset val="134"/>
      </rPr>
      <t>+3</t>
    </r>
    <r>
      <rPr>
        <sz val="12"/>
        <rFont val="黑体"/>
        <charset val="134"/>
      </rPr>
      <t>。</t>
    </r>
  </si>
  <si>
    <r>
      <rPr>
        <sz val="12"/>
        <rFont val="黑体"/>
        <charset val="134"/>
      </rPr>
      <t>“睿智者从他人的死亡中吸取教训。”
智力</t>
    </r>
    <r>
      <rPr>
        <sz val="12"/>
        <rFont val="黑体"/>
        <charset val="134"/>
      </rPr>
      <t>+3</t>
    </r>
    <r>
      <rPr>
        <sz val="12"/>
        <rFont val="黑体"/>
        <charset val="134"/>
      </rPr>
      <t>。</t>
    </r>
  </si>
  <si>
    <r>
      <rPr>
        <sz val="12"/>
        <rFont val="黑体"/>
        <charset val="134"/>
      </rPr>
      <t>“猜忌多疑的心智是健康的心智。”
感知</t>
    </r>
    <r>
      <rPr>
        <sz val="12"/>
        <rFont val="黑体"/>
        <charset val="134"/>
      </rPr>
      <t>+3</t>
    </r>
    <r>
      <rPr>
        <sz val="12"/>
        <rFont val="黑体"/>
        <charset val="134"/>
      </rPr>
      <t>。</t>
    </r>
  </si>
  <si>
    <r>
      <rPr>
        <sz val="12"/>
        <rFont val="黑体"/>
        <charset val="134"/>
      </rPr>
      <t>“相信你的恐惧。”
敏捷</t>
    </r>
    <r>
      <rPr>
        <sz val="12"/>
        <rFont val="黑体"/>
        <charset val="134"/>
      </rPr>
      <t>+2</t>
    </r>
    <r>
      <rPr>
        <sz val="12"/>
        <rFont val="黑体"/>
        <charset val="134"/>
      </rPr>
      <t>，命运点</t>
    </r>
    <r>
      <rPr>
        <sz val="12"/>
        <rFont val="黑体"/>
        <charset val="134"/>
      </rPr>
      <t>+1</t>
    </r>
    <r>
      <rPr>
        <sz val="12"/>
        <rFont val="黑体"/>
        <charset val="134"/>
      </rPr>
      <t>。</t>
    </r>
  </si>
  <si>
    <r>
      <rPr>
        <sz val="12"/>
        <rFont val="黑体"/>
        <charset val="134"/>
      </rPr>
      <t>“狂热，无可替代。”
坚韧</t>
    </r>
    <r>
      <rPr>
        <sz val="12"/>
        <rFont val="黑体"/>
        <charset val="134"/>
      </rPr>
      <t>+2</t>
    </r>
    <r>
      <rPr>
        <sz val="12"/>
        <rFont val="黑体"/>
        <charset val="134"/>
      </rPr>
      <t>，意志</t>
    </r>
    <r>
      <rPr>
        <sz val="12"/>
        <rFont val="黑体"/>
        <charset val="134"/>
      </rPr>
      <t>+2</t>
    </r>
    <r>
      <rPr>
        <sz val="12"/>
        <rFont val="黑体"/>
        <charset val="134"/>
      </rPr>
      <t>。</t>
    </r>
  </si>
  <si>
    <r>
      <rPr>
        <sz val="12"/>
        <rFont val="黑体"/>
        <charset val="134"/>
      </rPr>
      <t>“不要问为什么尽职，只问怎样去做。”
格斗能力</t>
    </r>
    <r>
      <rPr>
        <sz val="12"/>
        <rFont val="黑体"/>
        <charset val="134"/>
      </rPr>
      <t>+2</t>
    </r>
    <r>
      <rPr>
        <sz val="12"/>
        <rFont val="黑体"/>
        <charset val="134"/>
      </rPr>
      <t>，射击能力</t>
    </r>
    <r>
      <rPr>
        <sz val="12"/>
        <rFont val="黑体"/>
        <charset val="134"/>
      </rPr>
      <t>+2</t>
    </r>
    <r>
      <rPr>
        <sz val="12"/>
        <rFont val="黑体"/>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</si>
</sst>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4" formatCode="_ &quot;￥&quot;* #,##0.00_ ;_ &quot;￥&quot;* \-#,##0.00_ ;_ &quot;￥&quot;* &quot;-&quot;??_ ;_ @_ "/>
    <numFmt numFmtId="176" formatCode="_(* #,##0.00_);_(* \(#,##0.00\);_(* \-??_);_(@_)"/>
    <numFmt numFmtId="177" formatCode="0_ "/>
  </numFmts>
  <fonts count="46">
    <font>
      <sz val="11"/>
      <name val="等线"/>
      <charset val="134"/>
    </font>
    <font>
      <sz val="12"/>
      <name val="黑体"/>
      <charset val="134"/>
    </font>
    <font>
      <sz val="11"/>
      <name val="黑体"/>
      <charset val="134"/>
    </font>
    <font>
      <sz val="11"/>
      <color rgb="FF000000"/>
      <name val="黑体"/>
      <charset val="134"/>
    </font>
    <font>
      <sz val="12"/>
      <color theme="1"/>
      <name val="黑体"/>
      <charset val="134"/>
    </font>
    <font>
      <sz val="12"/>
      <color theme="0"/>
      <name val="黑体"/>
      <charset val="134"/>
    </font>
    <font>
      <b/>
      <sz val="12"/>
      <color theme="1"/>
      <name val="黑体"/>
      <charset val="134"/>
    </font>
    <font>
      <sz val="12"/>
      <color rgb="FFFFFFFF"/>
      <name val="黑体"/>
      <charset val="134"/>
    </font>
    <font>
      <sz val="11"/>
      <color rgb="FFFFFFFF"/>
      <name val="黑体"/>
      <charset val="134"/>
    </font>
    <font>
      <sz val="12"/>
      <color rgb="FF282828"/>
      <name val="黑体"/>
      <charset val="134"/>
    </font>
    <font>
      <sz val="12"/>
      <color rgb="FF000000"/>
      <name val="黑体"/>
      <charset val="134"/>
    </font>
    <font>
      <sz val="12"/>
      <name val="等线"/>
      <charset val="134"/>
    </font>
    <font>
      <sz val="10"/>
      <color theme="0"/>
      <name val="黑体"/>
      <charset val="134"/>
    </font>
    <font>
      <sz val="9"/>
      <color theme="0"/>
      <name val="黑体"/>
      <charset val="134"/>
    </font>
    <font>
      <sz val="11"/>
      <color theme="0"/>
      <name val="黑体"/>
      <charset val="134"/>
    </font>
    <font>
      <sz val="11"/>
      <name val="宋体"/>
      <charset val="134"/>
    </font>
    <font>
      <sz val="14"/>
      <color rgb="FF282828"/>
      <name val="黑体"/>
      <charset val="134"/>
    </font>
    <font>
      <b/>
      <sz val="12"/>
      <color rgb="FFFFFFFF"/>
      <name val="黑体"/>
      <charset val="134"/>
    </font>
    <font>
      <sz val="11"/>
      <color rgb="FF282828"/>
      <name val="黑体"/>
      <charset val="134"/>
    </font>
    <font>
      <sz val="9"/>
      <color rgb="FF000000"/>
      <name val="黑体"/>
      <charset val="134"/>
    </font>
    <font>
      <sz val="12"/>
      <color rgb="FFFF0000"/>
      <name val="黑体"/>
      <charset val="134"/>
    </font>
    <font>
      <b/>
      <sz val="12"/>
      <color rgb="FF282828"/>
      <name val="黑体"/>
      <charset val="134"/>
    </font>
    <font>
      <sz val="12"/>
      <name val="黑体"/>
      <charset val="1"/>
    </font>
    <font>
      <sz val="12"/>
      <color rgb="FFC00000"/>
      <name val="黑体"/>
      <charset val="134"/>
    </font>
    <font>
      <sz val="11"/>
      <color rgb="FF000000"/>
      <name val="等线"/>
      <charset val="134"/>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2">
    <fill>
      <patternFill patternType="none"/>
    </fill>
    <fill>
      <patternFill patternType="gray125"/>
    </fill>
    <fill>
      <patternFill patternType="solid">
        <fgColor rgb="FF662B2B"/>
        <bgColor indexed="64"/>
      </patternFill>
    </fill>
    <fill>
      <patternFill patternType="solid">
        <fgColor rgb="FFFEFDFB"/>
        <bgColor indexed="64"/>
      </patternFill>
    </fill>
    <fill>
      <patternFill patternType="solid">
        <fgColor rgb="FFEBEAE4"/>
        <bgColor indexed="64"/>
      </patternFill>
    </fill>
    <fill>
      <patternFill patternType="solid">
        <fgColor rgb="FFD9CEC2"/>
        <bgColor indexed="64"/>
      </patternFill>
    </fill>
    <fill>
      <patternFill patternType="solid">
        <fgColor rgb="FF282828"/>
        <bgColor rgb="FF121316"/>
      </patternFill>
    </fill>
    <fill>
      <patternFill patternType="solid">
        <fgColor rgb="FF44546A"/>
        <bgColor rgb="FF595959"/>
      </patternFill>
    </fill>
    <fill>
      <patternFill patternType="solid">
        <fgColor rgb="FF8497B0"/>
        <bgColor rgb="FF8B8B8B"/>
      </patternFill>
    </fill>
    <fill>
      <patternFill patternType="solid">
        <fgColor rgb="FFFEFDFB"/>
        <bgColor rgb="FFD9D9D9"/>
      </patternFill>
    </fill>
    <fill>
      <patternFill patternType="solid">
        <fgColor rgb="FF282828"/>
        <bgColor indexed="64"/>
      </patternFill>
    </fill>
    <fill>
      <patternFill patternType="solid">
        <fgColor rgb="FFFEFDFB"/>
        <bgColor rgb="FFF2F2F2"/>
      </patternFill>
    </fill>
    <fill>
      <patternFill patternType="solid">
        <fgColor rgb="FF662B2B"/>
        <bgColor rgb="FF595959"/>
      </patternFill>
    </fill>
    <fill>
      <patternFill patternType="solid">
        <fgColor rgb="FF662B2B"/>
        <bgColor rgb="FF404040"/>
      </patternFill>
    </fill>
    <fill>
      <patternFill patternType="solid">
        <fgColor rgb="FFD9CEC2"/>
        <bgColor rgb="FF8B8B8B"/>
      </patternFill>
    </fill>
    <fill>
      <patternFill patternType="solid">
        <fgColor rgb="FFD9CEC2"/>
        <bgColor rgb="FFA6A6A6"/>
      </patternFill>
    </fill>
    <fill>
      <patternFill patternType="solid">
        <fgColor rgb="FFEBEAE4"/>
        <bgColor rgb="FFD9D9D9"/>
      </patternFill>
    </fill>
    <fill>
      <patternFill patternType="solid">
        <fgColor rgb="FFFEFDFB"/>
        <bgColor rgb="FF121316"/>
      </patternFill>
    </fill>
    <fill>
      <patternFill patternType="solid">
        <fgColor rgb="FFEBEAE4"/>
        <bgColor rgb="FFF2F2F2"/>
      </patternFill>
    </fill>
    <fill>
      <patternFill patternType="solid">
        <fgColor rgb="FFD9CEC2"/>
        <bgColor rgb="FFD9D9D9"/>
      </patternFill>
    </fill>
    <fill>
      <patternFill patternType="solid">
        <fgColor rgb="FFEBEAE4"/>
        <bgColor rgb="FFA6A6A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282828"/>
      </left>
      <right style="thin">
        <color rgb="FF282828"/>
      </right>
      <top style="thin">
        <color rgb="FF282828"/>
      </top>
      <bottom style="thin">
        <color rgb="FF282828"/>
      </bottom>
      <diagonal/>
    </border>
    <border>
      <left/>
      <right style="thin">
        <color rgb="FF282828"/>
      </right>
      <top style="thin">
        <color rgb="FF282828"/>
      </top>
      <bottom style="thin">
        <color rgb="FF282828"/>
      </bottom>
      <diagonal/>
    </border>
    <border>
      <left/>
      <right/>
      <top style="thin">
        <color rgb="FF282828"/>
      </top>
      <bottom style="thin">
        <color rgb="FF282828"/>
      </bottom>
      <diagonal/>
    </border>
    <border>
      <left style="thin">
        <color rgb="FF282828"/>
      </left>
      <right style="thin">
        <color rgb="FF282828"/>
      </right>
      <top style="thin">
        <color rgb="FF282828"/>
      </top>
      <bottom/>
      <diagonal/>
    </border>
    <border>
      <left style="thin">
        <color rgb="FF282828"/>
      </left>
      <right/>
      <top style="thin">
        <color rgb="FF282828"/>
      </top>
      <bottom style="thin">
        <color rgb="FF282828"/>
      </bottom>
      <diagonal/>
    </border>
    <border>
      <left style="thin">
        <color rgb="FF282828"/>
      </left>
      <right/>
      <top style="thin">
        <color rgb="FF282828"/>
      </top>
      <bottom/>
      <diagonal/>
    </border>
    <border>
      <left/>
      <right/>
      <top style="thin">
        <color rgb="FF282828"/>
      </top>
      <bottom/>
      <diagonal/>
    </border>
    <border>
      <left/>
      <right style="thin">
        <color rgb="FF282828"/>
      </right>
      <top style="thin">
        <color rgb="FF282828"/>
      </top>
      <bottom/>
      <diagonal/>
    </border>
    <border>
      <left style="thin">
        <color rgb="FF282828"/>
      </left>
      <right/>
      <top/>
      <bottom style="thin">
        <color rgb="FF282828"/>
      </bottom>
      <diagonal/>
    </border>
    <border>
      <left/>
      <right/>
      <top/>
      <bottom style="thin">
        <color rgb="FF282828"/>
      </bottom>
      <diagonal/>
    </border>
    <border>
      <left/>
      <right style="thin">
        <color rgb="FF282828"/>
      </right>
      <top/>
      <bottom style="thin">
        <color rgb="FF282828"/>
      </bottom>
      <diagonal/>
    </border>
    <border>
      <left style="thin">
        <color rgb="FF282828"/>
      </left>
      <right/>
      <top/>
      <bottom/>
      <diagonal/>
    </border>
    <border>
      <left/>
      <right style="thin">
        <color rgb="FF282828"/>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24" fillId="0" borderId="0">
      <alignment vertical="top"/>
      <protection locked="0"/>
    </xf>
    <xf numFmtId="44" fontId="25" fillId="0" borderId="0" applyBorder="0" applyAlignment="0" applyProtection="0"/>
    <xf numFmtId="9" fontId="25" fillId="0" borderId="0" applyBorder="0" applyAlignment="0" applyProtection="0"/>
    <xf numFmtId="41" fontId="25" fillId="0" borderId="0" applyBorder="0" applyAlignment="0" applyProtection="0"/>
    <xf numFmtId="42" fontId="25" fillId="0" borderId="0" applyBorder="0" applyAlignment="0" applyProtection="0"/>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21" borderId="29"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30" applyNumberFormat="0" applyFill="0" applyAlignment="0" applyProtection="0">
      <alignment vertical="center"/>
    </xf>
    <xf numFmtId="0" fontId="33" fillId="0" borderId="30" applyNumberFormat="0" applyFill="0" applyAlignment="0" applyProtection="0">
      <alignment vertical="center"/>
    </xf>
    <xf numFmtId="0" fontId="34" fillId="0" borderId="31" applyNumberFormat="0" applyFill="0" applyAlignment="0" applyProtection="0">
      <alignment vertical="center"/>
    </xf>
    <xf numFmtId="0" fontId="34" fillId="0" borderId="0" applyNumberFormat="0" applyFill="0" applyBorder="0" applyAlignment="0" applyProtection="0">
      <alignment vertical="center"/>
    </xf>
    <xf numFmtId="0" fontId="35" fillId="22" borderId="32" applyNumberFormat="0" applyAlignment="0" applyProtection="0">
      <alignment vertical="center"/>
    </xf>
    <xf numFmtId="0" fontId="36" fillId="23" borderId="33" applyNumberFormat="0" applyAlignment="0" applyProtection="0">
      <alignment vertical="center"/>
    </xf>
    <xf numFmtId="0" fontId="37" fillId="23" borderId="32" applyNumberFormat="0" applyAlignment="0" applyProtection="0">
      <alignment vertical="center"/>
    </xf>
    <xf numFmtId="0" fontId="38" fillId="24" borderId="34" applyNumberFormat="0" applyAlignment="0" applyProtection="0">
      <alignment vertical="center"/>
    </xf>
    <xf numFmtId="0" fontId="39" fillId="0" borderId="35" applyNumberFormat="0" applyFill="0" applyAlignment="0" applyProtection="0">
      <alignment vertical="center"/>
    </xf>
    <xf numFmtId="0" fontId="40" fillId="0" borderId="36" applyNumberFormat="0" applyFill="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5" fillId="37" borderId="0" applyNumberFormat="0" applyBorder="0" applyAlignment="0" applyProtection="0">
      <alignment vertical="center"/>
    </xf>
    <xf numFmtId="0" fontId="45" fillId="38"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0" fontId="45" fillId="41" borderId="0" applyNumberFormat="0" applyBorder="0" applyAlignment="0" applyProtection="0">
      <alignment vertical="center"/>
    </xf>
    <xf numFmtId="0" fontId="45" fillId="42" borderId="0" applyNumberFormat="0" applyBorder="0" applyAlignment="0" applyProtection="0">
      <alignment vertical="center"/>
    </xf>
    <xf numFmtId="0" fontId="44" fillId="43" borderId="0" applyNumberFormat="0" applyBorder="0" applyAlignment="0" applyProtection="0">
      <alignment vertical="center"/>
    </xf>
    <xf numFmtId="0" fontId="44" fillId="44" borderId="0" applyNumberFormat="0" applyBorder="0" applyAlignment="0" applyProtection="0">
      <alignment vertical="center"/>
    </xf>
    <xf numFmtId="0" fontId="45" fillId="45" borderId="0" applyNumberFormat="0" applyBorder="0" applyAlignment="0" applyProtection="0">
      <alignment vertical="center"/>
    </xf>
    <xf numFmtId="0" fontId="45" fillId="46" borderId="0" applyNumberFormat="0" applyBorder="0" applyAlignment="0" applyProtection="0">
      <alignment vertical="center"/>
    </xf>
    <xf numFmtId="0" fontId="44" fillId="47" borderId="0" applyNumberFormat="0" applyBorder="0" applyAlignment="0" applyProtection="0">
      <alignment vertical="center"/>
    </xf>
    <xf numFmtId="0" fontId="44" fillId="48" borderId="0" applyNumberFormat="0" applyBorder="0" applyAlignment="0" applyProtection="0">
      <alignment vertical="center"/>
    </xf>
    <xf numFmtId="0" fontId="45" fillId="49" borderId="0" applyNumberFormat="0" applyBorder="0" applyAlignment="0" applyProtection="0">
      <alignment vertical="center"/>
    </xf>
    <xf numFmtId="0" fontId="45" fillId="50" borderId="0" applyNumberFormat="0" applyBorder="0" applyAlignment="0" applyProtection="0">
      <alignment vertical="center"/>
    </xf>
    <xf numFmtId="0" fontId="44" fillId="51" borderId="0" applyNumberFormat="0" applyBorder="0" applyAlignment="0" applyProtection="0">
      <alignment vertical="center"/>
    </xf>
    <xf numFmtId="0" fontId="15" fillId="0" borderId="0">
      <protection locked="0"/>
    </xf>
  </cellStyleXfs>
  <cellXfs count="171">
    <xf numFmtId="0" fontId="0" fillId="0" borderId="0" xfId="0">
      <alignment vertical="center"/>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0" xfId="0" applyFont="1" applyAlignment="1"/>
    <xf numFmtId="0" fontId="2" fillId="0" borderId="0" xfId="0" applyFont="1">
      <alignment vertical="center"/>
    </xf>
    <xf numFmtId="0" fontId="2" fillId="0" borderId="0" xfId="0" applyFont="1" applyAlignment="1">
      <alignment vertical="center"/>
    </xf>
    <xf numFmtId="0" fontId="3" fillId="0" borderId="5" xfId="0" applyFont="1" applyBorder="1" applyAlignment="1">
      <alignment vertical="center"/>
    </xf>
    <xf numFmtId="0" fontId="1" fillId="2" borderId="5" xfId="0" applyFont="1" applyFill="1" applyBorder="1" applyAlignment="1">
      <alignment horizontal="center" vertical="center"/>
    </xf>
    <xf numFmtId="0" fontId="4" fillId="3" borderId="5" xfId="0" applyFont="1" applyFill="1" applyBorder="1" applyAlignment="1">
      <alignment horizontal="center" vertical="center"/>
    </xf>
    <xf numFmtId="0" fontId="1" fillId="4" borderId="5" xfId="0" applyFont="1" applyFill="1" applyBorder="1" applyAlignment="1">
      <alignment horizontal="center" vertical="center"/>
    </xf>
    <xf numFmtId="0" fontId="5" fillId="2" borderId="5" xfId="0" applyFont="1" applyFill="1" applyBorder="1" applyAlignment="1">
      <alignment horizontal="center" vertical="center"/>
    </xf>
    <xf numFmtId="0" fontId="4" fillId="5" borderId="5" xfId="0" applyFont="1" applyFill="1" applyBorder="1" applyAlignment="1">
      <alignment horizontal="center" vertical="center"/>
    </xf>
    <xf numFmtId="0" fontId="4" fillId="2" borderId="5" xfId="0" applyFont="1" applyFill="1" applyBorder="1" applyAlignment="1">
      <alignment horizontal="center" vertical="center"/>
    </xf>
    <xf numFmtId="0" fontId="6" fillId="3" borderId="5" xfId="0" applyNumberFormat="1" applyFont="1" applyFill="1" applyBorder="1" applyAlignment="1" applyProtection="1">
      <alignment horizontal="center" vertical="center"/>
    </xf>
    <xf numFmtId="0" fontId="5" fillId="2" borderId="5" xfId="0" applyNumberFormat="1" applyFont="1" applyFill="1" applyBorder="1" applyAlignment="1" applyProtection="1">
      <alignment horizontal="center" vertical="center"/>
    </xf>
    <xf numFmtId="0" fontId="4" fillId="5" borderId="5" xfId="0" applyNumberFormat="1" applyFont="1" applyFill="1" applyBorder="1" applyAlignment="1" applyProtection="1">
      <alignment horizontal="center" vertical="center"/>
    </xf>
    <xf numFmtId="0" fontId="4" fillId="4" borderId="5" xfId="0" applyNumberFormat="1" applyFont="1" applyFill="1" applyBorder="1" applyAlignment="1" applyProtection="1">
      <alignment horizontal="center" vertical="center"/>
    </xf>
    <xf numFmtId="0" fontId="4" fillId="4" borderId="5" xfId="0" applyNumberFormat="1" applyFont="1" applyFill="1" applyBorder="1" applyAlignment="1" applyProtection="1">
      <alignment horizontal="center" vertical="center" wrapText="1"/>
    </xf>
    <xf numFmtId="0" fontId="2" fillId="3" borderId="0" xfId="0" applyFont="1" applyFill="1">
      <alignment vertical="center"/>
    </xf>
    <xf numFmtId="0" fontId="7" fillId="2" borderId="5" xfId="0" applyFont="1" applyFill="1" applyBorder="1" applyAlignment="1">
      <alignment horizontal="center" vertical="center"/>
    </xf>
    <xf numFmtId="0" fontId="8" fillId="3" borderId="0" xfId="0" applyFont="1" applyFill="1" applyAlignment="1">
      <alignment horizontal="center" vertical="center"/>
    </xf>
    <xf numFmtId="0" fontId="9" fillId="5" borderId="5"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2" fillId="5" borderId="5" xfId="0" applyFont="1" applyFill="1" applyBorder="1" applyAlignment="1">
      <alignment horizontal="center" vertical="center"/>
    </xf>
    <xf numFmtId="0" fontId="2" fillId="3" borderId="5" xfId="0" applyFont="1" applyFill="1" applyBorder="1" applyAlignment="1">
      <alignment horizontal="center" vertical="center"/>
    </xf>
    <xf numFmtId="0" fontId="10" fillId="3" borderId="5" xfId="0" applyFont="1" applyFill="1" applyBorder="1" applyAlignment="1">
      <alignment horizontal="left" vertical="center" wrapText="1"/>
    </xf>
    <xf numFmtId="0" fontId="8" fillId="2" borderId="0" xfId="0" applyFont="1" applyFill="1" applyAlignment="1">
      <alignment horizontal="center" vertical="center"/>
    </xf>
    <xf numFmtId="0" fontId="2" fillId="5" borderId="6" xfId="0" applyFont="1" applyFill="1" applyBorder="1" applyAlignment="1">
      <alignment horizontal="center" vertical="center"/>
    </xf>
    <xf numFmtId="0" fontId="2" fillId="5" borderId="7" xfId="0" applyFont="1" applyFill="1" applyBorder="1" applyAlignment="1">
      <alignment horizontal="center" vertical="center"/>
    </xf>
    <xf numFmtId="0" fontId="2" fillId="3" borderId="5" xfId="0" applyFont="1" applyFill="1" applyBorder="1" applyAlignment="1">
      <alignment horizontal="center" vertical="center" wrapText="1"/>
    </xf>
    <xf numFmtId="0" fontId="2" fillId="5" borderId="8" xfId="0" applyFont="1" applyFill="1" applyBorder="1" applyAlignment="1">
      <alignment horizontal="center" vertical="center"/>
    </xf>
    <xf numFmtId="0" fontId="2" fillId="5" borderId="9" xfId="0" applyFont="1" applyFill="1" applyBorder="1" applyAlignment="1">
      <alignment horizontal="center" vertical="center"/>
    </xf>
    <xf numFmtId="0" fontId="2" fillId="5" borderId="10" xfId="0" applyFont="1" applyFill="1" applyBorder="1" applyAlignment="1">
      <alignment horizontal="center" vertical="center"/>
    </xf>
    <xf numFmtId="0" fontId="2" fillId="5" borderId="11" xfId="0" applyFont="1" applyFill="1" applyBorder="1" applyAlignment="1">
      <alignment horizontal="center" vertical="center"/>
    </xf>
    <xf numFmtId="0" fontId="2" fillId="5" borderId="12" xfId="0" applyFont="1" applyFill="1" applyBorder="1" applyAlignment="1">
      <alignment horizontal="center" vertical="center"/>
    </xf>
    <xf numFmtId="0" fontId="2" fillId="5" borderId="13"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3" xfId="0" applyFont="1" applyFill="1" applyBorder="1" applyAlignment="1">
      <alignment horizontal="center" vertical="center"/>
    </xf>
    <xf numFmtId="0" fontId="11" fillId="3" borderId="0" xfId="0" applyFont="1" applyFill="1" applyBorder="1">
      <alignment vertical="center"/>
    </xf>
    <xf numFmtId="0" fontId="0" fillId="3" borderId="0" xfId="0" applyFill="1" applyBorder="1">
      <alignment vertical="center"/>
    </xf>
    <xf numFmtId="0" fontId="10" fillId="6" borderId="15" xfId="0" applyFont="1" applyFill="1" applyBorder="1" applyAlignment="1" applyProtection="1">
      <alignment horizontal="center" vertical="center"/>
      <protection hidden="1"/>
    </xf>
    <xf numFmtId="0" fontId="5" fillId="2" borderId="15" xfId="49" applyFont="1" applyFill="1" applyBorder="1" applyAlignment="1" applyProtection="1">
      <alignment horizontal="center" vertical="center"/>
    </xf>
    <xf numFmtId="0" fontId="5" fillId="7" borderId="15" xfId="49" applyFont="1" applyFill="1" applyBorder="1" applyAlignment="1" applyProtection="1">
      <alignment horizontal="center" vertical="center"/>
    </xf>
    <xf numFmtId="0" fontId="1" fillId="5" borderId="15" xfId="49" applyFont="1" applyFill="1" applyBorder="1" applyAlignment="1" applyProtection="1">
      <alignment horizontal="center" vertical="center"/>
    </xf>
    <xf numFmtId="0" fontId="1" fillId="8" borderId="15" xfId="49" applyFont="1" applyFill="1" applyBorder="1" applyAlignment="1" applyProtection="1">
      <alignment horizontal="center" vertical="center"/>
    </xf>
    <xf numFmtId="0" fontId="1" fillId="3" borderId="15" xfId="49" applyFont="1" applyFill="1" applyBorder="1" applyAlignment="1" applyProtection="1">
      <alignment horizontal="center" vertical="center"/>
    </xf>
    <xf numFmtId="0" fontId="1" fillId="3" borderId="15" xfId="0" applyFont="1" applyFill="1" applyBorder="1" applyAlignment="1">
      <alignment horizontal="center" vertical="center"/>
    </xf>
    <xf numFmtId="0" fontId="1" fillId="4" borderId="15" xfId="49" applyFont="1" applyFill="1" applyBorder="1" applyAlignment="1" applyProtection="1">
      <alignment horizontal="center" vertical="center"/>
    </xf>
    <xf numFmtId="0" fontId="1" fillId="9" borderId="15" xfId="49" applyFont="1" applyFill="1" applyBorder="1" applyAlignment="1" applyProtection="1">
      <alignment horizontal="center" vertical="center"/>
    </xf>
    <xf numFmtId="0" fontId="11" fillId="3" borderId="15" xfId="0" applyFont="1" applyFill="1" applyBorder="1" applyAlignment="1">
      <alignment horizontal="center" vertical="center"/>
    </xf>
    <xf numFmtId="0" fontId="11" fillId="3" borderId="15" xfId="0" applyFont="1" applyFill="1" applyBorder="1" applyAlignment="1">
      <alignment horizontal="center" vertical="center" wrapText="1"/>
    </xf>
    <xf numFmtId="0" fontId="12" fillId="6" borderId="15" xfId="0" applyFont="1" applyFill="1" applyBorder="1" applyAlignment="1" applyProtection="1">
      <alignment horizontal="left" vertical="center"/>
      <protection hidden="1"/>
    </xf>
    <xf numFmtId="0" fontId="4" fillId="3" borderId="15" xfId="0" applyFont="1" applyFill="1" applyBorder="1" applyAlignment="1">
      <alignment horizontal="center" vertical="center" wrapText="1"/>
    </xf>
    <xf numFmtId="0" fontId="4" fillId="3" borderId="15" xfId="0" applyFont="1" applyFill="1" applyBorder="1" applyAlignment="1">
      <alignment horizontal="left" vertical="top" wrapText="1"/>
    </xf>
    <xf numFmtId="0" fontId="1" fillId="3" borderId="15" xfId="0" applyFont="1" applyFill="1" applyBorder="1" applyAlignment="1">
      <alignment horizontal="left" vertical="center" wrapText="1"/>
    </xf>
    <xf numFmtId="0" fontId="9" fillId="6" borderId="15" xfId="0" applyFont="1" applyFill="1" applyBorder="1" applyAlignment="1" applyProtection="1">
      <alignment horizontal="center" vertical="center"/>
      <protection hidden="1"/>
    </xf>
    <xf numFmtId="0" fontId="13" fillId="6" borderId="15" xfId="0" applyFont="1" applyFill="1" applyBorder="1" applyAlignment="1" applyProtection="1">
      <alignment horizontal="left" vertical="center"/>
      <protection hidden="1"/>
    </xf>
    <xf numFmtId="0" fontId="0" fillId="3" borderId="0" xfId="0" applyFill="1" applyAlignment="1">
      <alignment horizontal="center" vertical="center"/>
    </xf>
    <xf numFmtId="0" fontId="10" fillId="10" borderId="15" xfId="0" applyFont="1" applyFill="1" applyBorder="1" applyAlignment="1">
      <alignment horizontal="center" vertical="center"/>
    </xf>
    <xf numFmtId="0" fontId="5" fillId="10" borderId="15" xfId="0" applyFont="1" applyFill="1" applyBorder="1" applyAlignment="1">
      <alignment horizontal="center" vertical="center"/>
    </xf>
    <xf numFmtId="0" fontId="5" fillId="2" borderId="15" xfId="0" applyFont="1" applyFill="1" applyBorder="1" applyAlignment="1">
      <alignment horizontal="center" vertical="center"/>
    </xf>
    <xf numFmtId="0" fontId="4" fillId="5" borderId="15" xfId="0" applyFont="1" applyFill="1" applyBorder="1" applyAlignment="1">
      <alignment horizontal="center" vertical="center" wrapText="1"/>
    </xf>
    <xf numFmtId="0" fontId="1" fillId="5" borderId="15" xfId="0" applyFont="1" applyFill="1" applyBorder="1" applyAlignment="1">
      <alignment horizontal="center" vertical="center"/>
    </xf>
    <xf numFmtId="0" fontId="4" fillId="5" borderId="15" xfId="0" applyFont="1" applyFill="1" applyBorder="1" applyAlignment="1">
      <alignment horizontal="center" vertical="center"/>
    </xf>
    <xf numFmtId="0" fontId="1" fillId="3" borderId="15" xfId="0" applyFont="1" applyFill="1" applyBorder="1" applyAlignment="1">
      <alignment horizontal="center" vertical="center" wrapText="1"/>
    </xf>
    <xf numFmtId="0" fontId="0" fillId="3" borderId="15" xfId="0" applyFill="1" applyBorder="1" applyAlignment="1">
      <alignment horizontal="center" vertical="center"/>
    </xf>
    <xf numFmtId="0" fontId="7" fillId="2" borderId="15" xfId="0" applyFont="1" applyFill="1" applyBorder="1" applyAlignment="1">
      <alignment horizontal="center" vertical="center"/>
    </xf>
    <xf numFmtId="0" fontId="10" fillId="5" borderId="15" xfId="0" applyFont="1" applyFill="1" applyBorder="1" applyAlignment="1">
      <alignment horizontal="center" vertical="center"/>
    </xf>
    <xf numFmtId="9" fontId="1" fillId="3" borderId="15" xfId="0" applyNumberFormat="1" applyFont="1" applyFill="1" applyBorder="1" applyAlignment="1">
      <alignment horizontal="center" vertical="center"/>
    </xf>
    <xf numFmtId="0" fontId="1" fillId="10" borderId="15" xfId="0" applyFont="1" applyFill="1" applyBorder="1" applyAlignment="1">
      <alignment horizontal="center" vertical="center"/>
    </xf>
    <xf numFmtId="0" fontId="14" fillId="10" borderId="15" xfId="0" applyFont="1" applyFill="1" applyBorder="1" applyAlignment="1">
      <alignment horizontal="center" vertical="center"/>
    </xf>
    <xf numFmtId="0" fontId="15" fillId="10" borderId="15" xfId="0" applyFont="1" applyFill="1" applyBorder="1" applyAlignment="1">
      <alignment horizontal="center" vertical="center"/>
    </xf>
    <xf numFmtId="0" fontId="16" fillId="5" borderId="15" xfId="0" applyFont="1" applyFill="1" applyBorder="1" applyAlignment="1">
      <alignment horizontal="center" vertical="center" wrapText="1"/>
    </xf>
    <xf numFmtId="0" fontId="10" fillId="3" borderId="15" xfId="0" applyFont="1" applyFill="1" applyBorder="1" applyAlignment="1">
      <alignment horizontal="center" vertical="center"/>
    </xf>
    <xf numFmtId="0" fontId="7" fillId="2" borderId="15" xfId="0" applyFont="1" applyFill="1" applyBorder="1" applyAlignment="1">
      <alignment horizontal="center" vertical="center" wrapText="1"/>
    </xf>
    <xf numFmtId="0" fontId="1" fillId="4" borderId="15" xfId="0" applyFont="1" applyFill="1" applyBorder="1" applyAlignment="1">
      <alignment horizontal="center" vertical="center"/>
    </xf>
    <xf numFmtId="0" fontId="17" fillId="5" borderId="15" xfId="0" applyFont="1" applyFill="1" applyBorder="1" applyAlignment="1">
      <alignment horizontal="center" vertical="center"/>
    </xf>
    <xf numFmtId="0" fontId="7" fillId="3" borderId="15" xfId="0" applyFont="1" applyFill="1" applyBorder="1" applyAlignment="1">
      <alignment horizontal="center" vertical="center"/>
    </xf>
    <xf numFmtId="0" fontId="10" fillId="4" borderId="15" xfId="0" applyFont="1" applyFill="1" applyBorder="1" applyAlignment="1">
      <alignment horizontal="center" vertical="center"/>
    </xf>
    <xf numFmtId="0" fontId="15" fillId="3" borderId="15" xfId="0" applyFont="1" applyFill="1" applyBorder="1" applyAlignment="1">
      <alignment horizontal="center" vertical="center"/>
    </xf>
    <xf numFmtId="0" fontId="10" fillId="3" borderId="15" xfId="0" applyFont="1" applyFill="1" applyBorder="1" applyAlignment="1">
      <alignment horizontal="center" vertical="center" wrapText="1"/>
    </xf>
    <xf numFmtId="0" fontId="10" fillId="11" borderId="0" xfId="0" applyFont="1" applyFill="1" applyAlignment="1" applyProtection="1">
      <alignment horizontal="center" vertical="center"/>
      <protection hidden="1"/>
    </xf>
    <xf numFmtId="0" fontId="10" fillId="11" borderId="0" xfId="0" applyFont="1" applyFill="1" applyBorder="1" applyAlignment="1" applyProtection="1">
      <alignment horizontal="center" vertical="center"/>
      <protection hidden="1"/>
    </xf>
    <xf numFmtId="0" fontId="7" fillId="12" borderId="15" xfId="0" applyFont="1" applyFill="1" applyBorder="1" applyAlignment="1" applyProtection="1">
      <alignment horizontal="center" vertical="center" wrapText="1"/>
      <protection hidden="1"/>
    </xf>
    <xf numFmtId="0" fontId="10" fillId="3" borderId="15" xfId="0" applyFont="1" applyFill="1" applyBorder="1" applyAlignment="1" applyProtection="1">
      <alignment horizontal="center" vertical="center"/>
      <protection hidden="1"/>
    </xf>
    <xf numFmtId="0" fontId="7" fillId="13" borderId="15" xfId="0" applyFont="1" applyFill="1" applyBorder="1" applyAlignment="1" applyProtection="1">
      <alignment horizontal="center" vertical="center"/>
      <protection hidden="1"/>
    </xf>
    <xf numFmtId="0" fontId="9" fillId="14" borderId="15" xfId="0" applyFont="1" applyFill="1" applyBorder="1" applyAlignment="1" applyProtection="1">
      <alignment horizontal="center" vertical="center"/>
      <protection hidden="1"/>
    </xf>
    <xf numFmtId="0" fontId="9" fillId="3" borderId="15" xfId="0" applyFont="1" applyFill="1" applyBorder="1" applyAlignment="1">
      <alignment horizontal="center" vertical="center"/>
    </xf>
    <xf numFmtId="0" fontId="18" fillId="3" borderId="15" xfId="0" applyFont="1" applyFill="1" applyBorder="1" applyAlignment="1">
      <alignment horizontal="center" vertical="center"/>
    </xf>
    <xf numFmtId="0" fontId="10" fillId="11" borderId="15" xfId="0" applyFont="1" applyFill="1" applyBorder="1" applyAlignment="1" applyProtection="1">
      <alignment horizontal="center" vertical="center"/>
      <protection hidden="1"/>
    </xf>
    <xf numFmtId="0" fontId="10" fillId="5" borderId="15" xfId="0" applyFont="1" applyFill="1" applyBorder="1" applyAlignment="1" applyProtection="1">
      <alignment horizontal="center" vertical="center"/>
      <protection hidden="1"/>
    </xf>
    <xf numFmtId="0" fontId="1" fillId="3" borderId="15" xfId="0" applyFont="1" applyFill="1" applyBorder="1" applyAlignment="1" applyProtection="1">
      <alignment horizontal="center" vertical="center" wrapText="1"/>
      <protection hidden="1"/>
    </xf>
    <xf numFmtId="0" fontId="10" fillId="5" borderId="15" xfId="0" applyFont="1" applyFill="1" applyBorder="1" applyAlignment="1" applyProtection="1">
      <alignment horizontal="center" vertical="center" wrapText="1"/>
      <protection hidden="1"/>
    </xf>
    <xf numFmtId="0" fontId="10" fillId="15" borderId="15" xfId="0" applyFont="1" applyFill="1" applyBorder="1" applyAlignment="1" applyProtection="1">
      <alignment horizontal="center" vertical="center"/>
      <protection hidden="1"/>
    </xf>
    <xf numFmtId="0" fontId="10" fillId="6" borderId="15" xfId="0" applyFont="1" applyFill="1" applyBorder="1" applyAlignment="1" applyProtection="1">
      <alignment horizontal="center" vertical="center" wrapText="1"/>
      <protection hidden="1"/>
    </xf>
    <xf numFmtId="0" fontId="19" fillId="5" borderId="15" xfId="0" applyFont="1" applyFill="1" applyBorder="1" applyAlignment="1" applyProtection="1">
      <alignment horizontal="center" vertical="center"/>
      <protection hidden="1"/>
    </xf>
    <xf numFmtId="0" fontId="20" fillId="6" borderId="15" xfId="0" applyFont="1" applyFill="1" applyBorder="1" applyAlignment="1" applyProtection="1">
      <alignment horizontal="center" vertical="center" wrapText="1"/>
      <protection hidden="1"/>
    </xf>
    <xf numFmtId="0" fontId="7" fillId="6" borderId="15" xfId="0" applyFont="1" applyFill="1" applyBorder="1" applyAlignment="1" applyProtection="1">
      <alignment horizontal="center" vertical="center"/>
      <protection hidden="1"/>
    </xf>
    <xf numFmtId="0" fontId="17" fillId="14" borderId="15" xfId="0" applyFont="1" applyFill="1" applyBorder="1" applyAlignment="1" applyProtection="1">
      <alignment horizontal="center" vertical="center"/>
      <protection hidden="1"/>
    </xf>
    <xf numFmtId="0" fontId="7" fillId="3" borderId="15" xfId="0" applyFont="1" applyFill="1" applyBorder="1" applyAlignment="1" applyProtection="1">
      <alignment horizontal="center" vertical="center"/>
      <protection hidden="1"/>
    </xf>
    <xf numFmtId="0" fontId="1" fillId="16" borderId="15" xfId="0" applyFont="1" applyFill="1" applyBorder="1" applyAlignment="1" applyProtection="1">
      <alignment horizontal="center" vertical="center"/>
      <protection hidden="1"/>
    </xf>
    <xf numFmtId="0" fontId="20" fillId="3" borderId="15" xfId="0" applyFont="1" applyFill="1" applyBorder="1" applyAlignment="1" applyProtection="1">
      <alignment horizontal="center" vertical="center"/>
      <protection hidden="1"/>
    </xf>
    <xf numFmtId="0" fontId="1" fillId="5" borderId="15" xfId="0" applyFont="1" applyFill="1" applyBorder="1" applyAlignment="1" applyProtection="1">
      <alignment horizontal="center" vertical="center"/>
      <protection hidden="1"/>
    </xf>
    <xf numFmtId="0" fontId="20" fillId="11" borderId="15" xfId="0" applyFont="1" applyFill="1" applyBorder="1" applyAlignment="1" applyProtection="1">
      <alignment horizontal="center" vertical="center"/>
      <protection hidden="1"/>
    </xf>
    <xf numFmtId="0" fontId="7" fillId="6" borderId="15" xfId="0" applyFont="1" applyFill="1" applyBorder="1" applyAlignment="1" applyProtection="1">
      <alignment horizontal="center" vertical="center" wrapText="1"/>
      <protection hidden="1"/>
    </xf>
    <xf numFmtId="0" fontId="7" fillId="17" borderId="15" xfId="0" applyFont="1" applyFill="1" applyBorder="1" applyAlignment="1" applyProtection="1">
      <alignment horizontal="center" vertical="center" wrapText="1"/>
      <protection hidden="1"/>
    </xf>
    <xf numFmtId="0" fontId="9" fillId="5" borderId="15" xfId="0" applyFont="1" applyFill="1" applyBorder="1" applyAlignment="1" applyProtection="1">
      <alignment horizontal="center" vertical="center"/>
      <protection hidden="1"/>
    </xf>
    <xf numFmtId="0" fontId="9" fillId="15" borderId="15" xfId="0" applyFont="1" applyFill="1" applyBorder="1" applyAlignment="1" applyProtection="1">
      <alignment horizontal="center" vertical="center"/>
      <protection hidden="1"/>
    </xf>
    <xf numFmtId="0" fontId="21" fillId="14" borderId="15" xfId="0" applyFont="1" applyFill="1" applyBorder="1" applyAlignment="1" applyProtection="1">
      <alignment horizontal="center" vertical="center"/>
      <protection hidden="1"/>
    </xf>
    <xf numFmtId="0" fontId="9" fillId="9" borderId="15" xfId="0" applyFont="1" applyFill="1" applyBorder="1" applyAlignment="1" applyProtection="1">
      <alignment horizontal="center" vertical="center" wrapText="1"/>
      <protection hidden="1"/>
    </xf>
    <xf numFmtId="0" fontId="9" fillId="11" borderId="15" xfId="0" applyFont="1" applyFill="1" applyBorder="1" applyAlignment="1" applyProtection="1">
      <alignment horizontal="center" vertical="center"/>
      <protection hidden="1"/>
    </xf>
    <xf numFmtId="0" fontId="9" fillId="16" borderId="15" xfId="0" applyFont="1" applyFill="1" applyBorder="1" applyAlignment="1" applyProtection="1">
      <alignment horizontal="center" vertical="center"/>
      <protection hidden="1"/>
    </xf>
    <xf numFmtId="0" fontId="10" fillId="18" borderId="15" xfId="0" applyFont="1" applyFill="1" applyBorder="1" applyAlignment="1" applyProtection="1">
      <alignment horizontal="center" vertical="center"/>
      <protection hidden="1"/>
    </xf>
    <xf numFmtId="0" fontId="10" fillId="19" borderId="15" xfId="0" applyFont="1" applyFill="1" applyBorder="1" applyAlignment="1" applyProtection="1">
      <alignment horizontal="center" vertical="center"/>
      <protection hidden="1"/>
    </xf>
    <xf numFmtId="0" fontId="10" fillId="15" borderId="15" xfId="0" applyFont="1" applyFill="1" applyBorder="1" applyAlignment="1" applyProtection="1">
      <alignment horizontal="center" vertical="center" wrapText="1"/>
      <protection hidden="1"/>
    </xf>
    <xf numFmtId="0" fontId="10" fillId="15" borderId="16" xfId="0" applyFont="1" applyFill="1" applyBorder="1" applyAlignment="1" applyProtection="1">
      <alignment horizontal="center" vertical="center" wrapText="1"/>
      <protection hidden="1"/>
    </xf>
    <xf numFmtId="3" fontId="22" fillId="4" borderId="15" xfId="0" applyNumberFormat="1" applyFont="1" applyFill="1" applyBorder="1" applyAlignment="1">
      <alignment horizontal="center" vertical="center"/>
    </xf>
    <xf numFmtId="3" fontId="22" fillId="3" borderId="15" xfId="0" applyNumberFormat="1" applyFont="1" applyFill="1" applyBorder="1" applyAlignment="1">
      <alignment horizontal="center" vertical="center"/>
    </xf>
    <xf numFmtId="0" fontId="1" fillId="3" borderId="17" xfId="0" applyFont="1" applyFill="1" applyBorder="1" applyAlignment="1">
      <alignment horizontal="right" vertical="center"/>
    </xf>
    <xf numFmtId="0" fontId="1" fillId="3" borderId="17" xfId="0" applyFont="1" applyFill="1" applyBorder="1" applyAlignment="1">
      <alignment horizontal="left" vertical="center"/>
    </xf>
    <xf numFmtId="0" fontId="10" fillId="6" borderId="16" xfId="0" applyFont="1" applyFill="1" applyBorder="1" applyAlignment="1" applyProtection="1">
      <alignment horizontal="center" vertical="center"/>
      <protection hidden="1"/>
    </xf>
    <xf numFmtId="0" fontId="1" fillId="15" borderId="15" xfId="0" applyFont="1" applyFill="1" applyBorder="1" applyAlignment="1" applyProtection="1">
      <alignment horizontal="center" vertical="center"/>
      <protection hidden="1"/>
    </xf>
    <xf numFmtId="0" fontId="7" fillId="12" borderId="15" xfId="0" applyFont="1" applyFill="1" applyBorder="1" applyAlignment="1" applyProtection="1">
      <alignment horizontal="center" vertical="center"/>
      <protection hidden="1"/>
    </xf>
    <xf numFmtId="0" fontId="1" fillId="16" borderId="15" xfId="0" applyFont="1" applyFill="1" applyBorder="1" applyAlignment="1" applyProtection="1">
      <alignment horizontal="center" vertical="center" wrapText="1"/>
      <protection hidden="1"/>
    </xf>
    <xf numFmtId="0" fontId="1" fillId="3" borderId="15" xfId="0" applyFont="1" applyFill="1" applyBorder="1" applyAlignment="1" applyProtection="1">
      <alignment horizontal="center" vertical="center"/>
      <protection hidden="1"/>
    </xf>
    <xf numFmtId="0" fontId="23" fillId="3" borderId="15" xfId="0" applyFont="1" applyFill="1" applyBorder="1" applyAlignment="1" applyProtection="1">
      <alignment horizontal="center" vertical="center"/>
      <protection hidden="1"/>
    </xf>
    <xf numFmtId="177" fontId="1" fillId="16" borderId="15" xfId="0" applyNumberFormat="1" applyFont="1" applyFill="1" applyBorder="1" applyAlignment="1" applyProtection="1">
      <alignment horizontal="center" vertical="center"/>
      <protection hidden="1"/>
    </xf>
    <xf numFmtId="0" fontId="10" fillId="16" borderId="15" xfId="0" applyFont="1" applyFill="1" applyBorder="1" applyAlignment="1" applyProtection="1">
      <alignment horizontal="center" vertical="center" wrapText="1"/>
      <protection hidden="1"/>
    </xf>
    <xf numFmtId="3" fontId="22" fillId="4" borderId="18" xfId="0" applyNumberFormat="1" applyFont="1" applyFill="1" applyBorder="1" applyAlignment="1">
      <alignment horizontal="center" vertical="center"/>
    </xf>
    <xf numFmtId="3" fontId="22" fillId="3" borderId="18" xfId="0" applyNumberFormat="1" applyFont="1" applyFill="1" applyBorder="1" applyAlignment="1">
      <alignment horizontal="center" vertical="center"/>
    </xf>
    <xf numFmtId="0" fontId="10" fillId="11" borderId="0" xfId="0" applyFont="1" applyFill="1" applyAlignment="1" applyProtection="1">
      <alignment horizontal="center" vertical="center"/>
      <protection locked="0" hidden="1"/>
    </xf>
    <xf numFmtId="0" fontId="10" fillId="19" borderId="15" xfId="0" applyFont="1" applyFill="1" applyBorder="1" applyAlignment="1" applyProtection="1">
      <alignment horizontal="center" vertical="center" wrapText="1"/>
      <protection hidden="1"/>
    </xf>
    <xf numFmtId="0" fontId="10" fillId="11" borderId="15" xfId="0" applyFont="1" applyFill="1" applyBorder="1" applyAlignment="1" applyProtection="1">
      <alignment horizontal="left" vertical="center" wrapText="1"/>
      <protection hidden="1"/>
    </xf>
    <xf numFmtId="0" fontId="0" fillId="3" borderId="0" xfId="0" applyFill="1">
      <alignment vertical="center"/>
    </xf>
    <xf numFmtId="0" fontId="10" fillId="16" borderId="15" xfId="0" applyFont="1" applyFill="1" applyBorder="1" applyAlignment="1" applyProtection="1">
      <alignment horizontal="center" vertical="center"/>
      <protection hidden="1"/>
    </xf>
    <xf numFmtId="0" fontId="20" fillId="16" borderId="15" xfId="0" applyFont="1" applyFill="1" applyBorder="1" applyAlignment="1" applyProtection="1">
      <alignment horizontal="center" vertical="center"/>
      <protection hidden="1"/>
    </xf>
    <xf numFmtId="0" fontId="3" fillId="15" borderId="15" xfId="0" applyFont="1" applyFill="1" applyBorder="1" applyAlignment="1" applyProtection="1">
      <alignment horizontal="center" vertical="center"/>
      <protection hidden="1"/>
    </xf>
    <xf numFmtId="0" fontId="3" fillId="16" borderId="15" xfId="0" applyFont="1" applyFill="1" applyBorder="1" applyAlignment="1" applyProtection="1">
      <alignment vertical="center"/>
      <protection hidden="1"/>
    </xf>
    <xf numFmtId="0" fontId="3" fillId="3" borderId="15" xfId="0" applyFont="1" applyFill="1" applyBorder="1" applyAlignment="1" applyProtection="1">
      <alignment horizontal="center" vertical="center"/>
      <protection hidden="1"/>
    </xf>
    <xf numFmtId="0" fontId="3" fillId="16" borderId="15" xfId="0" applyFont="1" applyFill="1" applyBorder="1" applyAlignment="1" applyProtection="1">
      <alignment horizontal="center" vertical="center"/>
      <protection hidden="1"/>
    </xf>
    <xf numFmtId="0" fontId="3" fillId="9" borderId="15" xfId="0" applyFont="1" applyFill="1" applyBorder="1" applyAlignment="1" applyProtection="1">
      <alignment horizontal="center" vertical="center"/>
      <protection hidden="1"/>
    </xf>
    <xf numFmtId="0" fontId="7" fillId="2" borderId="15" xfId="0" applyFont="1" applyFill="1" applyBorder="1" applyAlignment="1" applyProtection="1">
      <alignment horizontal="center" vertical="center" wrapText="1"/>
      <protection hidden="1"/>
    </xf>
    <xf numFmtId="0" fontId="10" fillId="11" borderId="15" xfId="0" applyFont="1" applyFill="1" applyBorder="1" applyAlignment="1" applyProtection="1">
      <alignment horizontal="center" vertical="center" wrapText="1"/>
      <protection hidden="1"/>
    </xf>
    <xf numFmtId="0" fontId="1" fillId="15" borderId="15" xfId="0" applyFont="1" applyFill="1" applyBorder="1" applyAlignment="1" applyProtection="1">
      <alignment horizontal="center" vertical="center" wrapText="1"/>
      <protection hidden="1"/>
    </xf>
    <xf numFmtId="0" fontId="1" fillId="15" borderId="19" xfId="0" applyFont="1" applyFill="1" applyBorder="1" applyAlignment="1" applyProtection="1">
      <alignment horizontal="center" vertical="center"/>
      <protection hidden="1"/>
    </xf>
    <xf numFmtId="0" fontId="1" fillId="15" borderId="17" xfId="0" applyFont="1" applyFill="1" applyBorder="1" applyAlignment="1" applyProtection="1">
      <alignment horizontal="center" vertical="center"/>
      <protection hidden="1"/>
    </xf>
    <xf numFmtId="0" fontId="1" fillId="15" borderId="16" xfId="0" applyFont="1" applyFill="1" applyBorder="1" applyAlignment="1" applyProtection="1">
      <alignment horizontal="center" vertical="center"/>
      <protection hidden="1"/>
    </xf>
    <xf numFmtId="177" fontId="1" fillId="20" borderId="15" xfId="0" applyNumberFormat="1" applyFont="1" applyFill="1" applyBorder="1" applyAlignment="1" applyProtection="1">
      <alignment horizontal="center" vertical="center"/>
      <protection hidden="1"/>
    </xf>
    <xf numFmtId="0" fontId="10" fillId="11" borderId="20"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10" fillId="11" borderId="22" xfId="0" applyFont="1" applyFill="1" applyBorder="1" applyAlignment="1" applyProtection="1">
      <alignment horizontal="center" vertical="center"/>
      <protection hidden="1"/>
    </xf>
    <xf numFmtId="0" fontId="10" fillId="11" borderId="23" xfId="0" applyFont="1" applyFill="1" applyBorder="1" applyAlignment="1" applyProtection="1">
      <alignment horizontal="center" vertical="center"/>
      <protection hidden="1"/>
    </xf>
    <xf numFmtId="0" fontId="10" fillId="11" borderId="24" xfId="0" applyFont="1" applyFill="1" applyBorder="1" applyAlignment="1" applyProtection="1">
      <alignment horizontal="center" vertical="center"/>
      <protection hidden="1"/>
    </xf>
    <xf numFmtId="0" fontId="10" fillId="11" borderId="25" xfId="0" applyFont="1" applyFill="1" applyBorder="1" applyAlignment="1" applyProtection="1">
      <alignment horizontal="center" vertical="center"/>
      <protection hidden="1"/>
    </xf>
    <xf numFmtId="0" fontId="10" fillId="11" borderId="26" xfId="0" applyFont="1" applyFill="1" applyBorder="1" applyAlignment="1" applyProtection="1">
      <alignment horizontal="center" vertical="center"/>
      <protection hidden="1"/>
    </xf>
    <xf numFmtId="0" fontId="10" fillId="11" borderId="27" xfId="0" applyFont="1" applyFill="1" applyBorder="1" applyAlignment="1" applyProtection="1">
      <alignment horizontal="center" vertical="center"/>
      <protection hidden="1"/>
    </xf>
    <xf numFmtId="0" fontId="9" fillId="15" borderId="28" xfId="0" applyFont="1" applyFill="1" applyBorder="1" applyAlignment="1" applyProtection="1">
      <alignment horizontal="center" vertical="center" wrapText="1"/>
      <protection hidden="1"/>
    </xf>
    <xf numFmtId="0" fontId="9" fillId="15" borderId="28" xfId="0" applyFont="1" applyFill="1" applyBorder="1" applyAlignment="1" applyProtection="1">
      <alignment horizontal="center" vertical="center"/>
      <protection hidden="1"/>
    </xf>
    <xf numFmtId="0" fontId="1" fillId="4" borderId="19" xfId="0" applyFont="1" applyFill="1" applyBorder="1" applyAlignment="1">
      <alignment horizontal="center" vertical="center"/>
    </xf>
    <xf numFmtId="0" fontId="1" fillId="4" borderId="17" xfId="0" applyFont="1" applyFill="1" applyBorder="1" applyAlignment="1">
      <alignment horizontal="center" vertical="center"/>
    </xf>
    <xf numFmtId="0" fontId="1" fillId="4" borderId="16" xfId="0" applyFont="1" applyFill="1" applyBorder="1" applyAlignment="1">
      <alignment horizontal="center" vertical="center"/>
    </xf>
    <xf numFmtId="0" fontId="1" fillId="3" borderId="19" xfId="0" applyFont="1" applyFill="1" applyBorder="1" applyAlignment="1" applyProtection="1">
      <alignment horizontal="center" vertical="center"/>
      <protection hidden="1"/>
    </xf>
    <xf numFmtId="0" fontId="1" fillId="3" borderId="17" xfId="0" applyFont="1" applyFill="1" applyBorder="1" applyAlignment="1" applyProtection="1">
      <alignment horizontal="center" vertical="center"/>
      <protection hidden="1"/>
    </xf>
    <xf numFmtId="0" fontId="1" fillId="3" borderId="16" xfId="0" applyFont="1" applyFill="1" applyBorder="1" applyAlignment="1" applyProtection="1">
      <alignment horizontal="center" vertical="center"/>
      <protection hidden="1"/>
    </xf>
    <xf numFmtId="0" fontId="10" fillId="3" borderId="15" xfId="0" applyFont="1" applyFill="1" applyBorder="1" applyAlignment="1" applyProtection="1">
      <alignment vertical="top" wrapText="1"/>
      <protection hidden="1"/>
    </xf>
    <xf numFmtId="0" fontId="10" fillId="3" borderId="15" xfId="0" applyFont="1" applyFill="1" applyBorder="1" applyAlignment="1" applyProtection="1">
      <alignment horizontal="left" vertical="top" wrapText="1"/>
      <protection hidden="1"/>
    </xf>
    <xf numFmtId="0" fontId="10" fillId="11" borderId="15" xfId="0" applyFont="1" applyFill="1" applyBorder="1" applyAlignment="1" applyProtection="1">
      <alignment horizontal="left" vertical="top" wrapText="1"/>
      <protection hidden="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4">
    <dxf>
      <font>
        <name val="黑体"/>
        <scheme val="none"/>
        <charset val="134"/>
        <family val="0"/>
        <b val="0"/>
        <i val="0"/>
        <strike val="0"/>
        <u val="none"/>
        <sz val="12"/>
        <color theme="1"/>
      </font>
      <numFmt numFmtId="0" formatCode="General"/>
      <fill>
        <patternFill patternType="solid">
          <bgColor rgb="FF8497B0"/>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wrapText="1"/>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colors>
    <indexedColors>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ACB9CA"/>
      <rgbColor rgb="008B8B8B"/>
      <rgbColor rgb="00A6A6A6"/>
      <rgbColor rgb="00993366"/>
      <rgbColor rgb="00FFF2CC"/>
      <rgbColor rgb="00F2F2F2"/>
      <rgbColor rgb="00660066"/>
      <rgbColor rgb="00FF8080"/>
      <rgbColor rgb="000066CC"/>
      <rgbColor rgb="00D6DCE4"/>
      <rgbColor rgb="00000080"/>
      <rgbColor rgb="00FF00FF"/>
      <rgbColor rgb="00FFFF00"/>
      <rgbColor rgb="0000FFFF"/>
      <rgbColor rgb="00800080"/>
      <rgbColor rgb="00800000"/>
      <rgbColor rgb="00008080"/>
      <rgbColor rgb="000000FF"/>
      <rgbColor rgb="0000CCFF"/>
      <rgbColor rgb="00E7E6E6"/>
      <rgbColor rgb="00E2EFDA"/>
      <rgbColor rgb="00D9D9D9"/>
      <rgbColor rgb="0099CCFF"/>
      <rgbColor rgb="00FF99CC"/>
      <rgbColor rgb="00CC99FF"/>
      <rgbColor rgb="00FBE5D6"/>
      <rgbColor rgb="003366FF"/>
      <rgbColor rgb="0033CCCC"/>
      <rgbColor rgb="0099CC00"/>
      <rgbColor rgb="00FFC000"/>
      <rgbColor rgb="00FF9900"/>
      <rgbColor rgb="00FF6600"/>
      <rgbColor rgb="00595959"/>
      <rgbColor rgb="008497B0"/>
      <rgbColor rgb="0044546A"/>
      <rgbColor rgb="00339966"/>
      <rgbColor rgb="00121316"/>
      <rgbColor rgb="00333F4F"/>
      <rgbColor rgb="00993300"/>
      <rgbColor rgb="00993366"/>
      <rgbColor rgb="00305496"/>
      <rgbColor rgb="00404040"/>
      <rgbColor rgb="00003366"/>
      <rgbColor rgb="00339966"/>
      <rgbColor rgb="00003300"/>
      <rgbColor rgb="00333300"/>
      <rgbColor rgb="00993300"/>
      <rgbColor rgb="00993366"/>
      <rgbColor rgb="00333399"/>
      <rgbColor rgb="00333333"/>
    </indexedColors>
    <mruColors>
      <color rgb="00EEE6D9"/>
      <color rgb="004B4A44"/>
      <color rgb="00F8F7F3"/>
      <color rgb="00E0DED5"/>
      <color rgb="00FAFEFF"/>
      <color rgb="00EBEAE4"/>
      <color rgb="00662B2B"/>
      <color rgb="00FEFDFB"/>
      <color rgb="00282828"/>
      <color rgb="00D9CEC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eetMetadata" Target="metadata.xml"/><Relationship Id="rId10" Type="http://schemas.openxmlformats.org/officeDocument/2006/relationships/sharedStrings" Target="sharedStrings.xml"/><Relationship Id="rId1" Type="http://schemas.openxmlformats.org/officeDocument/2006/relationships/worksheet" Target="worksheets/sheet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"数据值"</c:f>
              <c:strCache>
                <c:ptCount val="1"/>
                <c:pt idx="0">
                  <c:v>数据值</c:v>
                </c:pt>
              </c:strCache>
            </c:strRef>
          </c:tx>
          <c:spPr>
            <a:gradFill>
              <a:gsLst>
                <a:gs pos="0">
                  <a:srgbClr val="D6DCE4"/>
                </a:gs>
                <a:gs pos="50000">
                  <a:srgbClr val="ACB9CA"/>
                </a:gs>
                <a:gs pos="100000">
                  <a:srgbClr val="44546A"/>
                </a:gs>
              </a:gsLst>
              <a:lin ang="5400000"/>
            </a:gradFill>
            <a:ln w="19080">
              <a:solidFill>
                <a:srgbClr val="000000"/>
              </a:solidFill>
              <a:round/>
            </a:ln>
          </c:spPr>
          <c:dLbls>
            <c:numFmt formatCode="General" sourceLinked="1"/>
            <c:spPr>
              <a:noFill/>
              <a:ln>
                <a:noFill/>
              </a:ln>
              <a:effectLst/>
            </c:spPr>
            <c:txPr>
              <a:bodyPr rot="0" spcFirstLastPara="0" vertOverflow="ellipsis" vert="horz" wrap="square" lIns="38100" tIns="19050" rIns="38100" bIns="19050" anchor="ctr" anchorCtr="1"/>
              <a:lstStyle/>
              <a:p>
                <a:pPr>
                  <a:defRPr lang="zh-CN" sz="1200" b="0" i="0" u="none" strike="noStrike" kern="1200" spc="-1" baseline="0">
                    <a:solidFill>
                      <a:srgbClr val="404040"/>
                    </a:solidFill>
                    <a:latin typeface="黑体" panose="02010609060101010101" charset="-122"/>
                    <a:ea typeface="黑体" panose="02010609060101010101" charset="-122"/>
                    <a:cs typeface="+mn-cs"/>
                  </a:defRPr>
                </a:pPr>
              </a:p>
            </c:txPr>
            <c:showLegendKey val="0"/>
            <c:showVal val="1"/>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strRef>
              <c:f>人物数据!$G$2:$G$10</c:f>
              <c:strCache>
                <c:ptCount val="9"/>
                <c:pt idx="0">
                  <c:v>格</c:v>
                </c:pt>
                <c:pt idx="1">
                  <c:v>射</c:v>
                </c:pt>
                <c:pt idx="2">
                  <c:v>力</c:v>
                </c:pt>
                <c:pt idx="3">
                  <c:v>坚</c:v>
                </c:pt>
                <c:pt idx="4">
                  <c:v>敏</c:v>
                </c:pt>
                <c:pt idx="5">
                  <c:v>智</c:v>
                </c:pt>
                <c:pt idx="6">
                  <c:v>感</c:v>
                </c:pt>
                <c:pt idx="7">
                  <c:v>意</c:v>
                </c:pt>
                <c:pt idx="8">
                  <c:v>交</c:v>
                </c:pt>
              </c:strCache>
            </c:strRef>
          </c:cat>
          <c:val>
            <c:numRef>
              <c:f>人物!$K$13:$K$21</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"百分比值"</c:f>
              <c:strCache>
                <c:ptCount val="1"/>
                <c:pt idx="0">
                  <c:v>百分比值</c:v>
                </c:pt>
              </c:strCache>
            </c:strRef>
          </c:tx>
          <c:spPr>
            <a:noFill/>
            <a:ln w="12600">
              <a:noFill/>
            </a:ln>
          </c:spPr>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人物数据!$G$2:$G$10</c:f>
              <c:strCache>
                <c:ptCount val="9"/>
                <c:pt idx="0">
                  <c:v>格</c:v>
                </c:pt>
                <c:pt idx="1">
                  <c:v>射</c:v>
                </c:pt>
                <c:pt idx="2">
                  <c:v>力</c:v>
                </c:pt>
                <c:pt idx="3">
                  <c:v>坚</c:v>
                </c:pt>
                <c:pt idx="4">
                  <c:v>敏</c:v>
                </c:pt>
                <c:pt idx="5">
                  <c:v>智</c:v>
                </c:pt>
                <c:pt idx="6">
                  <c:v>感</c:v>
                </c:pt>
                <c:pt idx="7">
                  <c:v>意</c:v>
                </c:pt>
                <c:pt idx="8">
                  <c:v>交</c:v>
                </c:pt>
              </c:strCache>
            </c:strRef>
          </c:cat>
          <c:val>
            <c:numRef>
              <c:f>人物!$S$13:$S$21</c:f>
              <c:numCache>
                <c:formatCode>General</c:formatCode>
                <c:ptCount val="9"/>
                <c:pt idx="0">
                  <c:v>80</c:v>
                </c:pt>
                <c:pt idx="1">
                  <c:v>80</c:v>
                </c:pt>
                <c:pt idx="2">
                  <c:v>80</c:v>
                </c:pt>
                <c:pt idx="3">
                  <c:v>80</c:v>
                </c:pt>
                <c:pt idx="4">
                  <c:v>80</c:v>
                </c:pt>
                <c:pt idx="5">
                  <c:v>80</c:v>
                </c:pt>
                <c:pt idx="6">
                  <c:v>80</c:v>
                </c:pt>
                <c:pt idx="7">
                  <c:v>80</c:v>
                </c:pt>
                <c:pt idx="8">
                  <c:v>80</c:v>
                </c:pt>
              </c:numCache>
            </c:numRef>
          </c:val>
        </c:ser>
        <c:dLbls>
          <c:showLegendKey val="0"/>
          <c:showVal val="0"/>
          <c:showCatName val="0"/>
          <c:showSerName val="0"/>
          <c:showPercent val="0"/>
          <c:showBubbleSize val="1"/>
        </c:dLbls>
        <c:axId val="86885501"/>
        <c:axId val="34738199"/>
      </c:radarChart>
      <c:catAx>
        <c:axId val="86885501"/>
        <c:scaling>
          <c:orientation val="maxMin"/>
        </c:scaling>
        <c:delete val="0"/>
        <c:axPos val="b"/>
        <c:numFmt formatCode="General" sourceLinked="0"/>
        <c:majorTickMark val="out"/>
        <c:minorTickMark val="none"/>
        <c:tickLblPos val="nextTo"/>
        <c:spPr>
          <a:ln w="9360" cap="flat" cmpd="sng" algn="ctr">
            <a:noFill/>
            <a:prstDash val="solid"/>
            <a:round/>
          </a:ln>
        </c:spPr>
        <c:txPr>
          <a:bodyPr rot="-60000000" spcFirstLastPara="0" vertOverflow="ellipsis" vert="horz" wrap="square" anchor="ctr" anchorCtr="1"/>
          <a:lstStyle/>
          <a:p>
            <a:pPr>
              <a:defRPr lang="zh-CN" sz="1200" b="0" i="0" u="none" strike="noStrike" kern="1200" spc="-1" baseline="0">
                <a:solidFill>
                  <a:srgbClr val="595959"/>
                </a:solidFill>
                <a:latin typeface="黑体" panose="02010609060101010101" charset="-122"/>
                <a:ea typeface="黑体" panose="02010609060101010101" charset="-122"/>
                <a:cs typeface="+mn-cs"/>
              </a:defRPr>
            </a:pPr>
          </a:p>
        </c:txPr>
        <c:crossAx val="34738199"/>
        <c:crosses val="autoZero"/>
        <c:auto val="1"/>
        <c:lblAlgn val="ctr"/>
        <c:lblOffset val="100"/>
        <c:noMultiLvlLbl val="0"/>
      </c:catAx>
      <c:valAx>
        <c:axId val="34738199"/>
        <c:scaling>
          <c:orientation val="minMax"/>
        </c:scaling>
        <c:delete val="1"/>
        <c:axPos val="r"/>
        <c:majorGridlines>
          <c:spPr>
            <a:ln w="9360" cap="flat" cmpd="sng" algn="ctr">
              <a:solidFill>
                <a:srgbClr val="D9D9D9"/>
              </a:solidFill>
              <a:prstDash val="solid"/>
              <a:round/>
            </a:ln>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spc="-1" baseline="0">
                <a:solidFill>
                  <a:srgbClr val="595959"/>
                </a:solidFill>
                <a:latin typeface="黑体" panose="02010609060101010101" charset="-122"/>
                <a:ea typeface="黑体" panose="02010609060101010101" charset="-122"/>
                <a:cs typeface="+mn-cs"/>
              </a:defRPr>
            </a:pPr>
          </a:p>
        </c:txPr>
        <c:crossAx val="86885501"/>
        <c:crosses val="autoZero"/>
        <c:crossBetween val="midCat"/>
      </c:valAx>
      <c:spPr>
        <a:noFill/>
        <a:ln w="0">
          <a:noFill/>
        </a:ln>
      </c:spPr>
    </c:plotArea>
    <c:plotVisOnly val="1"/>
    <c:dispBlanksAs val="gap"/>
    <c:showDLblsOverMax val="0"/>
    <c:extLst>
      <c:ext uri="{0b15fc19-7d7d-44ad-8c2d-2c3a37ce22c3}">
        <chartProps xmlns="https://web.wps.cn/et/2018/main" chartId="{787f0095-0f98-4ae6-8ed5-8a29e3343895}"/>
      </c:ext>
    </c:extLst>
  </c:chart>
  <c:spPr>
    <a:noFill/>
    <a:ln w="9360" cap="flat" cmpd="sng" algn="ctr">
      <a:noFill/>
      <a:prstDash val="solid"/>
      <a:round/>
    </a:ln>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"属性数据"</c:f>
              <c:strCache>
                <c:ptCount val="1"/>
                <c:pt idx="0">
                  <c:v>属性数据</c:v>
                </c:pt>
              </c:strCache>
            </c:strRef>
          </c:tx>
          <c:spPr>
            <a:gradFill flip="none">
              <a:gsLst>
                <a:gs pos="0">
                  <a:srgbClr val="D6DCE4"/>
                </a:gs>
                <a:gs pos="50000">
                  <a:srgbClr val="ACB9CA"/>
                </a:gs>
                <a:gs pos="100000">
                  <a:srgbClr val="44546A"/>
                </a:gs>
              </a:gsLst>
              <a:lin ang="5400000" scaled="1"/>
            </a:gradFill>
            <a:ln w="19050">
              <a:solidFill>
                <a:schemeClr val="tx1"/>
              </a:solidFill>
            </a:ln>
            <a:effectLst/>
            <a:sp3d contourW="19050"/>
          </c:spPr>
          <c:marker>
            <c:symbol val="none"/>
          </c:marker>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[1]引用!$J$29:$J$37</c:f>
              <c:strCache>
                <c:ptCount val="9"/>
                <c:pt idx="0">
                  <c:v>格</c:v>
                </c:pt>
                <c:pt idx="1">
                  <c:v>射</c:v>
                </c:pt>
                <c:pt idx="2">
                  <c:v>力</c:v>
                </c:pt>
                <c:pt idx="3">
                  <c:v>坚</c:v>
                </c:pt>
                <c:pt idx="4">
                  <c:v>敏</c:v>
                </c:pt>
                <c:pt idx="5">
                  <c:v>智</c:v>
                </c:pt>
                <c:pt idx="6">
                  <c:v>感</c:v>
                </c:pt>
                <c:pt idx="7">
                  <c:v>意</c:v>
                </c:pt>
                <c:pt idx="8">
                  <c:v>交</c:v>
                </c:pt>
              </c:strCache>
            </c:strRef>
          </c:cat>
          <c:val>
            <c:numRef>
              <c:f>武备!$L$71:$L$79</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"数值百分轴"</c:f>
              <c:strCache>
                <c:ptCount val="1"/>
                <c:pt idx="0">
                  <c:v>数值百分轴</c:v>
                </c:pt>
              </c:strCache>
            </c:strRef>
          </c:tx>
          <c:spPr>
            <a:noFill/>
            <a:ln w="12700">
              <a:noFill/>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 b="0" i="0" u="none" strike="noStrike" kern="1200" baseline="0">
                    <a:solidFill>
                      <a:schemeClr val="bg1"/>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[1]引用!$J$29:$J$37</c:f>
              <c:strCache>
                <c:ptCount val="9"/>
                <c:pt idx="0">
                  <c:v>格</c:v>
                </c:pt>
                <c:pt idx="1">
                  <c:v>射</c:v>
                </c:pt>
                <c:pt idx="2">
                  <c:v>力</c:v>
                </c:pt>
                <c:pt idx="3">
                  <c:v>坚</c:v>
                </c:pt>
                <c:pt idx="4">
                  <c:v>敏</c:v>
                </c:pt>
                <c:pt idx="5">
                  <c:v>智</c:v>
                </c:pt>
                <c:pt idx="6">
                  <c:v>感</c:v>
                </c:pt>
                <c:pt idx="7">
                  <c:v>意</c:v>
                </c:pt>
                <c:pt idx="8">
                  <c:v>交</c:v>
                </c:pt>
              </c:strCache>
            </c:strRef>
          </c:cat>
          <c:val>
            <c:numRef>
              <c:f>人物!$S$13:$S$21</c:f>
              <c:numCache>
                <c:formatCode>General</c:formatCode>
                <c:ptCount val="9"/>
                <c:pt idx="0">
                  <c:v>80</c:v>
                </c:pt>
                <c:pt idx="1">
                  <c:v>80</c:v>
                </c:pt>
                <c:pt idx="2">
                  <c:v>80</c:v>
                </c:pt>
                <c:pt idx="3">
                  <c:v>80</c:v>
                </c:pt>
                <c:pt idx="4">
                  <c:v>80</c:v>
                </c:pt>
                <c:pt idx="5">
                  <c:v>80</c:v>
                </c:pt>
                <c:pt idx="6">
                  <c:v>80</c:v>
                </c:pt>
                <c:pt idx="7">
                  <c:v>80</c:v>
                </c:pt>
                <c:pt idx="8">
                  <c:v>80</c:v>
                </c:pt>
              </c:numCache>
            </c:numRef>
          </c:val>
        </c:ser>
        <c:dLbls>
          <c:showLegendKey val="0"/>
          <c:showVal val="1"/>
          <c:showCatName val="0"/>
          <c:showSerName val="0"/>
          <c:showPercent val="0"/>
          <c:showBubbleSize val="0"/>
        </c:dLbls>
        <c:axId val="384878146"/>
        <c:axId val="744851067"/>
      </c:radarChart>
      <c:catAx>
        <c:axId val="38487814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744851067"/>
        <c:crosses val="autoZero"/>
        <c:auto val="1"/>
        <c:lblAlgn val="ctr"/>
        <c:lblOffset val="100"/>
        <c:noMultiLvlLbl val="0"/>
      </c:catAx>
      <c:valAx>
        <c:axId val="7448510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384878146"/>
        <c:crosses val="autoZero"/>
        <c:crossBetween val="between"/>
      </c:valAx>
      <c:spPr>
        <a:noFill/>
        <a:ln>
          <a:noFill/>
        </a:ln>
        <a:effectLst/>
      </c:spPr>
    </c:plotArea>
    <c:plotVisOnly val="1"/>
    <c:dispBlanksAs val="gap"/>
    <c:showDLblsOverMax val="0"/>
    <c:extLst>
      <c:ext uri="{0b15fc19-7d7d-44ad-8c2d-2c3a37ce22c3}">
        <chartProps xmlns="https://web.wps.cn/et/2018/main" chartId="{8019de2e-56f3-46d4-8f44-42e42609fc9c}"/>
      </c:ext>
    </c:extLst>
  </c:chart>
  <c:spPr>
    <a:noFill/>
    <a:ln w="9525" cap="flat" cmpd="sng" algn="ctr">
      <a:noFill/>
      <a:round/>
    </a:ln>
    <a:effectLst/>
  </c:spPr>
  <c:txPr>
    <a:bodyPr/>
    <a:lstStyle/>
    <a:p>
      <a:pPr>
        <a:defRPr lang="zh-CN" b="0">
          <a:latin typeface="黑体" panose="02010609060101010101" charset="-122"/>
          <a:ea typeface="黑体" panose="02010609060101010101" charset="-122"/>
          <a:cs typeface="黑体" panose="02010609060101010101" charset="-122"/>
          <a:sym typeface="黑体" panose="02010609060101010101"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0</xdr:colOff>
      <xdr:row>12</xdr:row>
      <xdr:rowOff>126365</xdr:rowOff>
    </xdr:from>
    <xdr:to>
      <xdr:col>17</xdr:col>
      <xdr:colOff>385445</xdr:colOff>
      <xdr:row>20</xdr:row>
      <xdr:rowOff>125095</xdr:rowOff>
    </xdr:to>
    <xdr:graphicFrame>
      <xdr:nvGraphicFramePr>
        <xdr:cNvPr id="2" name="Chart 1"/>
        <xdr:cNvGraphicFramePr/>
      </xdr:nvGraphicFramePr>
      <xdr:xfrm>
        <a:off x="4892675" y="3174365"/>
        <a:ext cx="1955165" cy="20307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9525</xdr:colOff>
      <xdr:row>17</xdr:row>
      <xdr:rowOff>1270</xdr:rowOff>
    </xdr:from>
    <xdr:to>
      <xdr:col>19</xdr:col>
      <xdr:colOff>376555</xdr:colOff>
      <xdr:row>22</xdr:row>
      <xdr:rowOff>84455</xdr:rowOff>
    </xdr:to>
    <xdr:pic>
      <xdr:nvPicPr>
        <xdr:cNvPr id="3" name="图片 2" descr="92F8560CF0D12C0A5B3FB8955E1F9690"/>
        <xdr:cNvPicPr>
          <a:picLocks noChangeAspect="1"/>
        </xdr:cNvPicPr>
      </xdr:nvPicPr>
      <xdr:blipFill>
        <a:blip r:embed="rId2"/>
        <a:srcRect t="3742"/>
        <a:stretch>
          <a:fillRect/>
        </a:stretch>
      </xdr:blipFill>
      <xdr:spPr>
        <a:xfrm>
          <a:off x="6471920" y="4319270"/>
          <a:ext cx="941070" cy="135318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13</xdr:col>
      <xdr:colOff>0</xdr:colOff>
      <xdr:row>70</xdr:row>
      <xdr:rowOff>12700</xdr:rowOff>
    </xdr:from>
    <xdr:to>
      <xdr:col>17</xdr:col>
      <xdr:colOff>375285</xdr:colOff>
      <xdr:row>78</xdr:row>
      <xdr:rowOff>200660</xdr:rowOff>
    </xdr:to>
    <xdr:graphicFrame>
      <xdr:nvGraphicFramePr>
        <xdr:cNvPr id="5" name="图表 4"/>
        <xdr:cNvGraphicFramePr/>
      </xdr:nvGraphicFramePr>
      <xdr:xfrm>
        <a:off x="4900295" y="16014700"/>
        <a:ext cx="1947545" cy="2016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167640</xdr:colOff>
      <xdr:row>12</xdr:row>
      <xdr:rowOff>46990</xdr:rowOff>
    </xdr:from>
    <xdr:to>
      <xdr:col>17</xdr:col>
      <xdr:colOff>382270</xdr:colOff>
      <xdr:row>17</xdr:row>
      <xdr:rowOff>160655</xdr:rowOff>
    </xdr:to>
    <xdr:sp>
      <xdr:nvSpPr>
        <xdr:cNvPr id="2" name="文本框 1"/>
        <xdr:cNvSpPr txBox="1"/>
      </xdr:nvSpPr>
      <xdr:spPr>
        <a:xfrm>
          <a:off x="167640" y="2790190"/>
          <a:ext cx="6706870" cy="1256665"/>
        </a:xfrm>
        <a:prstGeom prst="rect">
          <a:avLst/>
        </a:prstGeom>
        <a:solidFill>
          <a:srgbClr val="FEFDFB"/>
        </a:solidFill>
        <a:ln w="9525" cmpd="sng">
          <a:solidFill>
            <a:srgbClr val="28282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p>
          <a:pPr algn="l"/>
          <a:endParaRPr lang="zh-CN" altLang="en-US" sz="1100">
            <a:ln>
              <a:noFill/>
            </a:ln>
            <a:solidFill>
              <a:srgbClr val="FEFDFB"/>
            </a:solidFill>
            <a:latin typeface="黑体" panose="02010609060101010101" charset="-122"/>
            <a:ea typeface="黑体" panose="02010609060101010101" charset="-122"/>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esktop\&#36305;&#22242;\WH40K\DH1e&#31354;&#30333;&#21345;-1.13&#26356;&#26032;&#20102;&#20381;&#28982;&#31616;&#38475;&#20294;&#21193;&#24378;&#33021;&#29992;&#30340;&#27861;&#34920;&#31995;&#3247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人物"/>
      <sheetName val="武备"/>
      <sheetName val="灵能"/>
      <sheetName val="引用"/>
      <sheetName val="WpsReserved_CellImgList"/>
    </sheetNames>
    <sheetDataSet>
      <sheetData sheetId="0"/>
      <sheetData sheetId="1"/>
      <sheetData sheetId="2"/>
      <sheetData sheetId="3">
        <row r="29">
          <cell r="J29" t="str">
            <v>格</v>
          </cell>
        </row>
        <row r="30">
          <cell r="J30" t="str">
            <v>射</v>
          </cell>
        </row>
        <row r="31">
          <cell r="J31" t="str">
            <v>力</v>
          </cell>
        </row>
        <row r="32">
          <cell r="J32" t="str">
            <v>坚</v>
          </cell>
        </row>
        <row r="33">
          <cell r="J33" t="str">
            <v>敏</v>
          </cell>
        </row>
        <row r="34">
          <cell r="J34" t="str">
            <v>智</v>
          </cell>
        </row>
        <row r="35">
          <cell r="J35" t="str">
            <v>感</v>
          </cell>
        </row>
        <row r="36">
          <cell r="J36" t="str">
            <v>意</v>
          </cell>
        </row>
        <row r="37">
          <cell r="J37" t="str">
            <v>交</v>
          </cell>
        </row>
      </sheetData>
      <sheetData sheetId="4"/>
    </sheetDataSet>
  </externalBook>
</externalLink>
</file>

<file path=xl/tables/table1.xml><?xml version="1.0" encoding="utf-8"?>
<table xmlns="http://schemas.openxmlformats.org/spreadsheetml/2006/main" id="4" name="灵能表" displayName="灵能表" ref="B2:I135" totalsRowShown="0">
  <autoFilter xmlns:etc="http://www.wps.cn/officeDocument/2017/etCustomData" ref="B2:I135" etc:filterBottomFollowUsedRange="0"/>
  <tableColumns count="8">
    <tableColumn id="1" name="灵能名称"/>
    <tableColumn id="2" name="灵能类别" dataDxfId="0"/>
    <tableColumn id="3" name="阈值" dataDxfId="1"/>
    <tableColumn id="4" name="聚焦" dataDxfId="2"/>
    <tableColumn id="5" name="维持" dataDxfId="3"/>
    <tableColumn id="6" name="范围" dataDxfId="4"/>
    <tableColumn id="7" name="能力" dataDxfId="5"/>
    <tableColumn id="8" name="超量释放" dataDxfId="6"/>
  </tableColumns>
  <tableStyleInfo name="TableStylePreset3_Accent1" showFirstColumn="0" showLastColumn="0" showRowStripes="1" showColumnStripes="0"/>
</table>
</file>

<file path=xl/theme/theme1.xml><?xml version="1.0" encoding="utf-8"?>
<a:theme xmlns:a="http://schemas.openxmlformats.org/drawingml/2006/main" name="Office 2013 - 2022 主题">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BQ153"/>
  <sheetViews>
    <sheetView zoomScale="70" zoomScaleNormal="70" workbookViewId="0">
      <selection activeCell="T65" sqref="T65:AA92"/>
    </sheetView>
  </sheetViews>
  <sheetFormatPr defaultColWidth="5.16666666666667" defaultRowHeight="20" customHeight="1"/>
  <cols>
    <col min="1" max="1" width="2.40833333333333" style="85" customWidth="1"/>
    <col min="2" max="18" width="5.15" style="85" customWidth="1"/>
    <col min="19" max="19" width="2.38333333333333" style="85" customWidth="1"/>
    <col min="20" max="27" width="5.15" style="85" customWidth="1"/>
    <col min="28" max="28" width="2.40833333333333" style="86" customWidth="1"/>
    <col min="29" max="29" width="7.25" style="85" customWidth="1"/>
    <col min="30" max="16384" width="5.15833333333333" style="85"/>
  </cols>
  <sheetData>
    <row r="1" customHeight="1" spans="1:28">
      <c r="A1" s="44"/>
      <c r="B1" s="44"/>
      <c r="C1" s="44"/>
      <c r="D1" s="44"/>
      <c r="E1" s="44"/>
      <c r="F1" s="44"/>
      <c r="G1" s="44"/>
      <c r="H1" s="44"/>
      <c r="I1" s="44"/>
      <c r="J1" s="44"/>
      <c r="K1" s="44"/>
      <c r="L1" s="44"/>
      <c r="M1" s="44"/>
      <c r="N1" s="44"/>
      <c r="O1" s="44"/>
      <c r="P1" s="44"/>
      <c r="Q1" s="44"/>
      <c r="R1" s="44"/>
      <c r="S1" s="44"/>
      <c r="T1" s="44"/>
      <c r="U1" s="44"/>
      <c r="V1" s="44"/>
      <c r="W1" s="44"/>
      <c r="X1" s="44"/>
      <c r="Y1" s="44"/>
      <c r="Z1" s="44"/>
      <c r="AA1" s="44"/>
      <c r="AB1" s="44"/>
    </row>
    <row r="2" customHeight="1" spans="1:28">
      <c r="A2" s="44"/>
      <c r="B2" s="87" t="s">
        <v>0</v>
      </c>
      <c r="C2" s="87"/>
      <c r="D2" s="88"/>
      <c r="E2" s="88"/>
      <c r="F2" s="88"/>
      <c r="G2" s="88"/>
      <c r="H2" s="87" t="s">
        <v>1</v>
      </c>
      <c r="I2" s="87"/>
      <c r="J2" s="88"/>
      <c r="K2" s="88"/>
      <c r="L2" s="88"/>
      <c r="M2" s="88"/>
      <c r="N2" s="88"/>
      <c r="O2" s="88"/>
      <c r="P2" s="88"/>
      <c r="Q2" s="88"/>
      <c r="R2" s="88"/>
      <c r="S2" s="44"/>
      <c r="T2" s="89" t="s">
        <v>2</v>
      </c>
      <c r="U2" s="90" t="s">
        <v>3</v>
      </c>
      <c r="V2" s="90"/>
      <c r="W2" s="90"/>
      <c r="X2" s="91"/>
      <c r="Y2" s="90" t="s">
        <v>4</v>
      </c>
      <c r="Z2" s="92">
        <f ca="1">IF(X2="是",K7,0)+W3+X5</f>
        <v>0</v>
      </c>
      <c r="AA2" s="92"/>
      <c r="AB2" s="44"/>
    </row>
    <row r="3" customHeight="1" spans="1:28">
      <c r="A3" s="44"/>
      <c r="B3" s="87" t="s">
        <v>5</v>
      </c>
      <c r="C3" s="87"/>
      <c r="D3" s="88"/>
      <c r="E3" s="88"/>
      <c r="F3" s="88"/>
      <c r="G3" s="88"/>
      <c r="H3" s="87" t="s">
        <v>6</v>
      </c>
      <c r="I3" s="87"/>
      <c r="J3" s="88"/>
      <c r="K3" s="88"/>
      <c r="L3" s="88"/>
      <c r="M3" s="88"/>
      <c r="N3" s="88"/>
      <c r="O3" s="87" t="s">
        <v>7</v>
      </c>
      <c r="P3" s="93"/>
      <c r="Q3" s="87" t="s">
        <v>8</v>
      </c>
      <c r="R3" s="93"/>
      <c r="S3" s="44"/>
      <c r="T3" s="89"/>
      <c r="U3" s="90" t="s">
        <v>9</v>
      </c>
      <c r="V3" s="90"/>
      <c r="W3" s="92"/>
      <c r="X3" s="92"/>
      <c r="Y3" s="90" t="s">
        <v>10</v>
      </c>
      <c r="Z3" s="92">
        <f>武备!Q115</f>
        <v>0</v>
      </c>
      <c r="AA3" s="92"/>
      <c r="AB3" s="44"/>
    </row>
    <row r="4" customHeight="1" spans="1:28">
      <c r="A4" s="44"/>
      <c r="B4" s="87" t="s">
        <v>11</v>
      </c>
      <c r="C4" s="87"/>
      <c r="D4" s="88"/>
      <c r="E4" s="88"/>
      <c r="F4" s="88"/>
      <c r="G4" s="88"/>
      <c r="H4" s="87" t="s">
        <v>12</v>
      </c>
      <c r="I4" s="87"/>
      <c r="J4" s="88" t="str">
        <f>IF(N4="","","Rank "&amp;COUNTIF(Z$29:Z$44,"&lt;="&amp;Q4)+1)</f>
        <v/>
      </c>
      <c r="K4" s="88"/>
      <c r="L4" s="87" t="s">
        <v>13</v>
      </c>
      <c r="M4" s="94" t="s">
        <v>14</v>
      </c>
      <c r="N4" s="95"/>
      <c r="O4" s="95"/>
      <c r="P4" s="94" t="s">
        <v>10</v>
      </c>
      <c r="Q4" s="88" t="str">
        <f>IF(N4="","",I22+R52+R93+H132)</f>
        <v/>
      </c>
      <c r="R4" s="88"/>
      <c r="S4" s="44"/>
      <c r="T4" s="89"/>
      <c r="U4" s="90" t="s">
        <v>15</v>
      </c>
      <c r="V4" s="90"/>
      <c r="W4" s="92"/>
      <c r="X4" s="92"/>
      <c r="Y4" s="90" t="s">
        <v>16</v>
      </c>
      <c r="Z4" s="92">
        <f ca="1">Z2-Z3</f>
        <v>0</v>
      </c>
      <c r="AA4" s="92"/>
      <c r="AB4" s="44"/>
    </row>
    <row r="5" customHeight="1" spans="1:28">
      <c r="A5" s="44"/>
      <c r="B5" s="44"/>
      <c r="C5" s="44"/>
      <c r="D5" s="44"/>
      <c r="E5" s="44"/>
      <c r="F5" s="44"/>
      <c r="G5" s="44"/>
      <c r="H5" s="44"/>
      <c r="I5" s="44"/>
      <c r="J5" s="44"/>
      <c r="K5" s="44"/>
      <c r="L5" s="44"/>
      <c r="M5" s="44"/>
      <c r="N5" s="44"/>
      <c r="O5" s="44"/>
      <c r="P5" s="44"/>
      <c r="Q5" s="44"/>
      <c r="R5" s="44"/>
      <c r="S5" s="44"/>
      <c r="T5" s="44"/>
      <c r="U5" s="44"/>
      <c r="V5" s="44"/>
      <c r="W5" s="44"/>
      <c r="X5" s="44"/>
      <c r="Y5" s="44"/>
      <c r="Z5" s="44"/>
      <c r="AA5" s="44"/>
      <c r="AB5" s="44"/>
    </row>
    <row r="6" customHeight="1" spans="1:28">
      <c r="A6" s="44"/>
      <c r="B6" s="87" t="s">
        <v>17</v>
      </c>
      <c r="C6" s="87"/>
      <c r="D6" s="87"/>
      <c r="E6" s="87"/>
      <c r="F6" s="87"/>
      <c r="G6" s="87" t="s">
        <v>18</v>
      </c>
      <c r="H6" s="87" t="s">
        <v>19</v>
      </c>
      <c r="I6" s="87" t="s">
        <v>20</v>
      </c>
      <c r="J6" s="87"/>
      <c r="K6" s="87" t="s">
        <v>21</v>
      </c>
      <c r="L6" s="87"/>
      <c r="M6" s="87" t="s">
        <v>22</v>
      </c>
      <c r="N6" s="87" t="s">
        <v>23</v>
      </c>
      <c r="O6" s="68" t="str">
        <f>IFERROR(VLOOKUP(N7,人物数据!$A:$B,2,0),"")</f>
        <v/>
      </c>
      <c r="P6" s="68"/>
      <c r="Q6" s="68"/>
      <c r="R6" s="68"/>
      <c r="S6" s="68"/>
      <c r="T6" s="68"/>
      <c r="U6" s="68"/>
      <c r="V6" s="68"/>
      <c r="W6" s="68"/>
      <c r="X6" s="68"/>
      <c r="Y6" s="68"/>
      <c r="Z6" s="68"/>
      <c r="AA6" s="68"/>
      <c r="AB6" s="44"/>
    </row>
    <row r="7" customHeight="1" spans="1:28">
      <c r="A7" s="44"/>
      <c r="B7" s="88"/>
      <c r="C7" s="88"/>
      <c r="D7" s="88"/>
      <c r="E7" s="88"/>
      <c r="F7" s="88"/>
      <c r="G7" s="88" t="str">
        <f>IFERROR(VLOOKUP(B7,职业数据!$E:$G,2,0),"")</f>
        <v/>
      </c>
      <c r="H7" s="88" t="str">
        <f>IFERROR(VLOOKUP(B7,职业数据!$E:$G,3,0),"")</f>
        <v/>
      </c>
      <c r="I7" s="88"/>
      <c r="J7" s="88"/>
      <c r="K7" s="88" t="str" cm="1">
        <f ca="1" t="array" ref="K7">IF(B7="","",IF(N4&lt;400,0,SUMPRODUCT((ROW(INDIRECT("1:"&amp;INT(N4/400)))*400&lt;=N4)*(G7+(COUNTIFS(Z$29:Z$44,"&lt;="&amp;ROW(INDIRECT("1:"&amp;INT(N4/400)))*400)*H7))))+I7)</f>
        <v/>
      </c>
      <c r="L7" s="88"/>
      <c r="M7" s="87"/>
      <c r="N7" s="93"/>
      <c r="O7" s="68"/>
      <c r="P7" s="68"/>
      <c r="Q7" s="68"/>
      <c r="R7" s="68"/>
      <c r="S7" s="68"/>
      <c r="T7" s="68"/>
      <c r="U7" s="68"/>
      <c r="V7" s="68"/>
      <c r="W7" s="68"/>
      <c r="X7" s="68"/>
      <c r="Y7" s="68"/>
      <c r="Z7" s="68"/>
      <c r="AA7" s="68"/>
      <c r="AB7" s="44"/>
    </row>
    <row r="8" customHeight="1" spans="1:28">
      <c r="A8" s="44"/>
      <c r="B8" s="44"/>
      <c r="C8" s="44"/>
      <c r="D8" s="44"/>
      <c r="E8" s="44"/>
      <c r="F8" s="44"/>
      <c r="G8" s="44"/>
      <c r="H8" s="44"/>
      <c r="I8" s="44"/>
      <c r="J8" s="44"/>
      <c r="K8" s="44"/>
      <c r="L8" s="44"/>
      <c r="M8" s="44"/>
      <c r="N8" s="44"/>
      <c r="O8" s="44"/>
      <c r="P8" s="44"/>
      <c r="Q8" s="44"/>
      <c r="R8" s="44"/>
      <c r="S8" s="44"/>
      <c r="T8" s="44"/>
      <c r="U8" s="44"/>
      <c r="V8" s="44"/>
      <c r="W8" s="44"/>
      <c r="X8" s="44"/>
      <c r="Y8" s="44"/>
      <c r="Z8" s="44"/>
      <c r="AA8" s="44"/>
      <c r="AB8" s="44"/>
    </row>
    <row r="9" customHeight="1" spans="1:28">
      <c r="A9" s="44"/>
      <c r="B9" s="87" t="s">
        <v>24</v>
      </c>
      <c r="C9" s="87"/>
      <c r="D9" s="94" t="s">
        <v>25</v>
      </c>
      <c r="E9" s="88"/>
      <c r="F9" s="88"/>
      <c r="G9" s="88"/>
      <c r="H9" s="94" t="s">
        <v>26</v>
      </c>
      <c r="I9" s="88"/>
      <c r="J9" s="88"/>
      <c r="K9" s="88"/>
      <c r="L9" s="96" t="s">
        <v>27</v>
      </c>
      <c r="M9" s="97"/>
      <c r="N9" s="69"/>
      <c r="O9" s="69"/>
      <c r="P9" s="69"/>
      <c r="Q9" s="69"/>
      <c r="R9" s="69"/>
      <c r="S9" s="69"/>
      <c r="T9" s="69"/>
      <c r="U9" s="69"/>
      <c r="V9" s="69"/>
      <c r="W9" s="69"/>
      <c r="X9" s="69"/>
      <c r="Y9" s="69"/>
      <c r="Z9" s="69"/>
      <c r="AA9" s="69"/>
      <c r="AB9" s="44"/>
    </row>
    <row r="10" customHeight="1" spans="1:28">
      <c r="A10" s="44"/>
      <c r="B10" s="87"/>
      <c r="C10" s="87"/>
      <c r="D10" s="94" t="s">
        <v>28</v>
      </c>
      <c r="E10" s="88"/>
      <c r="F10" s="88"/>
      <c r="G10" s="88"/>
      <c r="H10" s="94" t="s">
        <v>29</v>
      </c>
      <c r="I10" s="88"/>
      <c r="J10" s="88"/>
      <c r="K10" s="88"/>
      <c r="L10" s="97"/>
      <c r="M10" s="97"/>
      <c r="N10" s="69"/>
      <c r="O10" s="69"/>
      <c r="P10" s="69"/>
      <c r="Q10" s="69"/>
      <c r="R10" s="69"/>
      <c r="S10" s="69"/>
      <c r="T10" s="69"/>
      <c r="U10" s="69"/>
      <c r="V10" s="69"/>
      <c r="W10" s="69"/>
      <c r="X10" s="69"/>
      <c r="Y10" s="69"/>
      <c r="Z10" s="69"/>
      <c r="AA10" s="69"/>
      <c r="AB10" s="44"/>
    </row>
    <row r="11" customHeight="1" spans="1:28">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row>
    <row r="12" customHeight="1" spans="1:28">
      <c r="A12" s="98"/>
      <c r="B12" s="87" t="s">
        <v>30</v>
      </c>
      <c r="C12" s="87"/>
      <c r="D12" s="94" t="s">
        <v>31</v>
      </c>
      <c r="E12" s="94" t="s">
        <v>32</v>
      </c>
      <c r="F12" s="94" t="s">
        <v>33</v>
      </c>
      <c r="G12" s="94" t="s">
        <v>34</v>
      </c>
      <c r="H12" s="94" t="s">
        <v>35</v>
      </c>
      <c r="I12" s="99" t="s">
        <v>36</v>
      </c>
      <c r="J12" s="94" t="s">
        <v>37</v>
      </c>
      <c r="K12" s="87" t="s">
        <v>38</v>
      </c>
      <c r="L12" s="94" t="s">
        <v>39</v>
      </c>
      <c r="M12" s="100" t="s">
        <v>40</v>
      </c>
      <c r="N12" s="101" t="s">
        <v>41</v>
      </c>
      <c r="O12" s="93"/>
      <c r="P12" s="93"/>
      <c r="Q12" s="101" t="s">
        <v>42</v>
      </c>
      <c r="R12" s="93"/>
      <c r="S12" s="44"/>
      <c r="T12" s="89" t="s">
        <v>43</v>
      </c>
      <c r="U12" s="89"/>
      <c r="V12" s="93"/>
      <c r="W12" s="93"/>
      <c r="X12" s="93"/>
      <c r="Y12" s="93"/>
      <c r="Z12" s="93"/>
      <c r="AA12" s="93"/>
      <c r="AB12" s="44"/>
    </row>
    <row r="13" customHeight="1" spans="1:28">
      <c r="A13" s="98"/>
      <c r="B13" s="87" t="s">
        <v>44</v>
      </c>
      <c r="C13" s="87"/>
      <c r="D13" s="102"/>
      <c r="E13" s="103">
        <v>1</v>
      </c>
      <c r="F13" s="103"/>
      <c r="G13" s="104"/>
      <c r="H13" s="104"/>
      <c r="I13" s="105"/>
      <c r="J13" s="103"/>
      <c r="K13" s="106">
        <f t="shared" ref="K13:K21" si="0">D13+G13+H13-J13</f>
        <v>0</v>
      </c>
      <c r="L13" s="104">
        <f t="shared" ref="L13:L21" si="1">INT(K13/10)*E13</f>
        <v>0</v>
      </c>
      <c r="M13" s="100"/>
      <c r="N13" s="103"/>
      <c r="O13" s="103"/>
      <c r="P13" s="103"/>
      <c r="Q13" s="103"/>
      <c r="R13" s="103"/>
      <c r="S13" s="44">
        <v>80</v>
      </c>
      <c r="T13" s="89"/>
      <c r="U13" s="89"/>
      <c r="V13" s="93"/>
      <c r="W13" s="93"/>
      <c r="X13" s="93"/>
      <c r="Y13" s="93"/>
      <c r="Z13" s="93"/>
      <c r="AA13" s="93"/>
      <c r="AB13" s="44"/>
    </row>
    <row r="14" customHeight="1" spans="1:28">
      <c r="A14" s="44"/>
      <c r="B14" s="87" t="s">
        <v>45</v>
      </c>
      <c r="C14" s="87"/>
      <c r="D14" s="102"/>
      <c r="E14" s="103">
        <v>1</v>
      </c>
      <c r="F14" s="103"/>
      <c r="G14" s="104"/>
      <c r="H14" s="104"/>
      <c r="I14" s="105"/>
      <c r="J14" s="103"/>
      <c r="K14" s="106">
        <f t="shared" si="0"/>
        <v>0</v>
      </c>
      <c r="L14" s="104">
        <f t="shared" si="1"/>
        <v>0</v>
      </c>
      <c r="M14" s="100"/>
      <c r="N14" s="103"/>
      <c r="O14" s="103"/>
      <c r="P14" s="103"/>
      <c r="Q14" s="103"/>
      <c r="R14" s="103"/>
      <c r="S14" s="44">
        <v>80</v>
      </c>
      <c r="T14" s="89"/>
      <c r="U14" s="89"/>
      <c r="V14" s="93"/>
      <c r="W14" s="93"/>
      <c r="X14" s="93"/>
      <c r="Y14" s="93"/>
      <c r="Z14" s="93"/>
      <c r="AA14" s="93"/>
      <c r="AB14" s="44"/>
    </row>
    <row r="15" customHeight="1" spans="1:28">
      <c r="A15" s="44"/>
      <c r="B15" s="87" t="s">
        <v>46</v>
      </c>
      <c r="C15" s="87"/>
      <c r="D15" s="102"/>
      <c r="E15" s="103">
        <v>1</v>
      </c>
      <c r="F15" s="93"/>
      <c r="G15" s="104"/>
      <c r="H15" s="104"/>
      <c r="I15" s="107"/>
      <c r="J15" s="93"/>
      <c r="K15" s="106">
        <f t="shared" si="0"/>
        <v>0</v>
      </c>
      <c r="L15" s="104">
        <f t="shared" si="1"/>
        <v>0</v>
      </c>
      <c r="M15" s="93"/>
      <c r="N15" s="103"/>
      <c r="O15" s="103"/>
      <c r="P15" s="103"/>
      <c r="Q15" s="103"/>
      <c r="R15" s="103"/>
      <c r="S15" s="44">
        <v>80</v>
      </c>
      <c r="T15" s="89"/>
      <c r="U15" s="89"/>
      <c r="V15" s="93"/>
      <c r="W15" s="93"/>
      <c r="X15" s="93"/>
      <c r="Y15" s="93"/>
      <c r="Z15" s="93"/>
      <c r="AA15" s="93"/>
      <c r="AB15" s="44"/>
    </row>
    <row r="16" customHeight="1" spans="1:28">
      <c r="A16" s="44"/>
      <c r="B16" s="87" t="s">
        <v>47</v>
      </c>
      <c r="C16" s="87"/>
      <c r="D16" s="102"/>
      <c r="E16" s="103">
        <v>1</v>
      </c>
      <c r="F16" s="93"/>
      <c r="G16" s="104"/>
      <c r="H16" s="104"/>
      <c r="I16" s="107"/>
      <c r="J16" s="93"/>
      <c r="K16" s="106">
        <f t="shared" si="0"/>
        <v>0</v>
      </c>
      <c r="L16" s="104">
        <f t="shared" si="1"/>
        <v>0</v>
      </c>
      <c r="M16" s="93"/>
      <c r="N16" s="103"/>
      <c r="O16" s="103"/>
      <c r="P16" s="103"/>
      <c r="Q16" s="103"/>
      <c r="R16" s="103"/>
      <c r="S16" s="44">
        <v>80</v>
      </c>
      <c r="T16" s="89"/>
      <c r="U16" s="89"/>
      <c r="V16" s="93"/>
      <c r="W16" s="93"/>
      <c r="X16" s="93"/>
      <c r="Y16" s="93"/>
      <c r="Z16" s="93"/>
      <c r="AA16" s="93"/>
      <c r="AB16" s="44"/>
    </row>
    <row r="17" customHeight="1" spans="1:28">
      <c r="A17" s="44"/>
      <c r="B17" s="87" t="s">
        <v>48</v>
      </c>
      <c r="C17" s="87"/>
      <c r="D17" s="102"/>
      <c r="E17" s="103">
        <v>1</v>
      </c>
      <c r="F17" s="93"/>
      <c r="G17" s="104"/>
      <c r="H17" s="104"/>
      <c r="I17" s="107"/>
      <c r="J17" s="93"/>
      <c r="K17" s="106">
        <f t="shared" si="0"/>
        <v>0</v>
      </c>
      <c r="L17" s="104">
        <f t="shared" si="1"/>
        <v>0</v>
      </c>
      <c r="M17" s="108" t="s">
        <v>49</v>
      </c>
      <c r="N17" s="103"/>
      <c r="O17" s="103"/>
      <c r="P17" s="103"/>
      <c r="Q17" s="103"/>
      <c r="R17" s="103"/>
      <c r="S17" s="44">
        <v>80</v>
      </c>
      <c r="T17" s="89"/>
      <c r="U17" s="89"/>
      <c r="V17" s="93"/>
      <c r="W17" s="93"/>
      <c r="X17" s="93"/>
      <c r="Y17" s="93"/>
      <c r="Z17" s="93"/>
      <c r="AA17" s="93"/>
      <c r="AB17" s="44"/>
    </row>
    <row r="18" customHeight="1" spans="1:28">
      <c r="A18" s="98"/>
      <c r="B18" s="87" t="s">
        <v>50</v>
      </c>
      <c r="C18" s="87"/>
      <c r="D18" s="102"/>
      <c r="E18" s="103">
        <v>1</v>
      </c>
      <c r="F18" s="93"/>
      <c r="G18" s="104"/>
      <c r="H18" s="104"/>
      <c r="I18" s="107"/>
      <c r="J18" s="93"/>
      <c r="K18" s="106">
        <f t="shared" si="0"/>
        <v>0</v>
      </c>
      <c r="L18" s="104">
        <f t="shared" si="1"/>
        <v>0</v>
      </c>
      <c r="M18" s="108"/>
      <c r="N18" s="109"/>
      <c r="O18" s="103"/>
      <c r="P18" s="103"/>
      <c r="Q18" s="103"/>
      <c r="R18" s="103"/>
      <c r="S18" s="44">
        <v>80</v>
      </c>
      <c r="T18" s="89"/>
      <c r="U18" s="89"/>
      <c r="V18" s="93"/>
      <c r="W18" s="93"/>
      <c r="X18" s="93"/>
      <c r="Y18" s="93"/>
      <c r="Z18" s="93"/>
      <c r="AA18" s="93"/>
      <c r="AB18" s="44"/>
    </row>
    <row r="19" customHeight="1" spans="1:28">
      <c r="A19" s="44"/>
      <c r="B19" s="87" t="s">
        <v>51</v>
      </c>
      <c r="C19" s="87"/>
      <c r="D19" s="102"/>
      <c r="E19" s="103">
        <v>1</v>
      </c>
      <c r="F19" s="103"/>
      <c r="G19" s="104"/>
      <c r="H19" s="104"/>
      <c r="I19" s="107"/>
      <c r="J19" s="103"/>
      <c r="K19" s="106">
        <f t="shared" si="0"/>
        <v>0</v>
      </c>
      <c r="L19" s="104">
        <f t="shared" si="1"/>
        <v>0</v>
      </c>
      <c r="M19" s="108"/>
      <c r="N19" s="103"/>
      <c r="O19" s="103"/>
      <c r="P19" s="103"/>
      <c r="Q19" s="103"/>
      <c r="R19" s="103"/>
      <c r="S19" s="44">
        <v>80</v>
      </c>
      <c r="T19" s="89"/>
      <c r="U19" s="89"/>
      <c r="V19" s="93"/>
      <c r="W19" s="93"/>
      <c r="X19" s="93"/>
      <c r="Y19" s="93"/>
      <c r="Z19" s="93"/>
      <c r="AA19" s="93"/>
      <c r="AB19" s="44"/>
    </row>
    <row r="20" customHeight="1" spans="1:28">
      <c r="A20" s="44"/>
      <c r="B20" s="87" t="s">
        <v>52</v>
      </c>
      <c r="C20" s="87"/>
      <c r="D20" s="102"/>
      <c r="E20" s="103">
        <v>1</v>
      </c>
      <c r="F20" s="93"/>
      <c r="G20" s="104"/>
      <c r="H20" s="104"/>
      <c r="I20" s="107"/>
      <c r="J20" s="93"/>
      <c r="K20" s="106">
        <f t="shared" si="0"/>
        <v>0</v>
      </c>
      <c r="L20" s="104">
        <f t="shared" si="1"/>
        <v>0</v>
      </c>
      <c r="M20" s="93"/>
      <c r="N20" s="103"/>
      <c r="O20" s="103"/>
      <c r="P20" s="103"/>
      <c r="Q20" s="103"/>
      <c r="R20" s="103"/>
      <c r="S20" s="44">
        <v>80</v>
      </c>
      <c r="T20" s="89"/>
      <c r="U20" s="89"/>
      <c r="V20" s="93"/>
      <c r="W20" s="93"/>
      <c r="X20" s="93"/>
      <c r="Y20" s="93"/>
      <c r="Z20" s="93"/>
      <c r="AA20" s="93"/>
      <c r="AB20" s="44"/>
    </row>
    <row r="21" customHeight="1" spans="1:28">
      <c r="A21" s="44"/>
      <c r="B21" s="87" t="s">
        <v>53</v>
      </c>
      <c r="C21" s="87"/>
      <c r="D21" s="102"/>
      <c r="E21" s="103">
        <v>1</v>
      </c>
      <c r="F21" s="93"/>
      <c r="G21" s="104"/>
      <c r="H21" s="104"/>
      <c r="I21" s="107"/>
      <c r="J21" s="93"/>
      <c r="K21" s="106">
        <f t="shared" si="0"/>
        <v>0</v>
      </c>
      <c r="L21" s="104">
        <f t="shared" si="1"/>
        <v>0</v>
      </c>
      <c r="M21" s="93"/>
      <c r="N21" s="103"/>
      <c r="O21" s="103"/>
      <c r="P21" s="103"/>
      <c r="Q21" s="103"/>
      <c r="R21" s="103"/>
      <c r="S21" s="44">
        <v>80</v>
      </c>
      <c r="T21" s="89"/>
      <c r="U21" s="89"/>
      <c r="V21" s="93"/>
      <c r="W21" s="93"/>
      <c r="X21" s="93"/>
      <c r="Y21" s="93"/>
      <c r="Z21" s="93"/>
      <c r="AA21" s="93"/>
      <c r="AB21" s="44"/>
    </row>
    <row r="22" customHeight="1" spans="1:28">
      <c r="A22" s="44"/>
      <c r="B22" s="44"/>
      <c r="C22" s="44"/>
      <c r="D22" s="44"/>
      <c r="E22" s="44"/>
      <c r="F22" s="44"/>
      <c r="G22" s="44"/>
      <c r="H22" s="44"/>
      <c r="I22" s="101">
        <f>SUM(I13:I21)</f>
        <v>0</v>
      </c>
      <c r="J22" s="44"/>
      <c r="K22" s="44"/>
      <c r="L22" s="44"/>
      <c r="M22" s="44"/>
      <c r="N22" s="44"/>
      <c r="O22" s="44"/>
      <c r="P22" s="44"/>
      <c r="Q22" s="44"/>
      <c r="R22" s="44"/>
      <c r="S22" s="44"/>
      <c r="T22" s="44"/>
      <c r="U22" s="44"/>
      <c r="V22" s="44"/>
      <c r="W22" s="59" t="s">
        <v>1</v>
      </c>
      <c r="X22" s="59"/>
      <c r="Y22" s="59"/>
      <c r="Z22" s="59"/>
      <c r="AA22" s="59"/>
      <c r="AB22" s="44"/>
    </row>
    <row r="23" customHeight="1" spans="1:28">
      <c r="A23" s="44"/>
      <c r="B23" s="87" t="s">
        <v>54</v>
      </c>
      <c r="C23" s="87"/>
      <c r="D23" s="110" t="s">
        <v>55</v>
      </c>
      <c r="E23" s="111"/>
      <c r="F23" s="110" t="s">
        <v>56</v>
      </c>
      <c r="G23" s="111"/>
      <c r="H23" s="110" t="s">
        <v>57</v>
      </c>
      <c r="I23" s="111"/>
      <c r="J23" s="110" t="s">
        <v>58</v>
      </c>
      <c r="K23" s="111"/>
      <c r="L23" s="110" t="s">
        <v>59</v>
      </c>
      <c r="M23" s="111"/>
      <c r="N23" s="110" t="s">
        <v>60</v>
      </c>
      <c r="O23" s="111"/>
      <c r="P23" s="110" t="s">
        <v>61</v>
      </c>
      <c r="Q23" s="111"/>
      <c r="R23" s="110" t="s">
        <v>33</v>
      </c>
      <c r="S23" s="59"/>
      <c r="T23" s="112" t="s">
        <v>62</v>
      </c>
      <c r="U23" s="112"/>
      <c r="V23" s="113">
        <f>VLOOKUP(V25,人物数据!C2:F22,2,FALSE())</f>
        <v>0.9</v>
      </c>
      <c r="W23" s="113"/>
      <c r="X23" s="112" t="s">
        <v>63</v>
      </c>
      <c r="Y23" s="112"/>
      <c r="Z23" s="113">
        <f>武备!Q4+武备!Q14+SUM(武备!Q25:Q29)+SUM(武备!Q33:Q34)+SUM(武备!Q38:Q49)+SUM(武备!Q53:Q67)</f>
        <v>0</v>
      </c>
      <c r="AA23" s="113"/>
      <c r="AB23" s="44"/>
    </row>
    <row r="24" customHeight="1" spans="1:28">
      <c r="A24" s="44"/>
      <c r="B24" s="87" t="s">
        <v>64</v>
      </c>
      <c r="C24" s="87"/>
      <c r="D24" s="114">
        <f>L17</f>
        <v>0</v>
      </c>
      <c r="E24" s="114"/>
      <c r="F24" s="114">
        <f>D24*2</f>
        <v>0</v>
      </c>
      <c r="G24" s="114"/>
      <c r="H24" s="114">
        <f>D24*3</f>
        <v>0</v>
      </c>
      <c r="I24" s="114"/>
      <c r="J24" s="114">
        <f>D24*6</f>
        <v>0</v>
      </c>
      <c r="K24" s="114"/>
      <c r="L24" s="114" t="str">
        <f>VLOOKUP(L17,人物数据!H2:O12,6,FALSE())</f>
        <v>12m</v>
      </c>
      <c r="M24" s="114"/>
      <c r="N24" s="114" t="str">
        <f>VLOOKUP(L17,人物数据!H2:O12,7,FALSE())</f>
        <v>0.75km</v>
      </c>
      <c r="O24" s="114"/>
      <c r="P24" s="114" t="str">
        <f>VLOOKUP(L17,人物数据!H2:O12,8,FALSE())</f>
        <v>7km</v>
      </c>
      <c r="Q24" s="114"/>
      <c r="R24" s="114" t="s">
        <v>65</v>
      </c>
      <c r="S24" s="59"/>
      <c r="T24" s="112" t="s">
        <v>66</v>
      </c>
      <c r="U24" s="112"/>
      <c r="V24" s="90" t="s">
        <v>67</v>
      </c>
      <c r="W24" s="90"/>
      <c r="X24" s="90" t="s">
        <v>68</v>
      </c>
      <c r="Y24" s="90"/>
      <c r="Z24" s="90" t="s">
        <v>69</v>
      </c>
      <c r="AA24" s="90"/>
      <c r="AB24" s="44"/>
    </row>
    <row r="25" customHeight="1" spans="1:28">
      <c r="A25" s="44"/>
      <c r="B25" s="87" t="s">
        <v>70</v>
      </c>
      <c r="C25" s="87"/>
      <c r="D25" s="115" t="s">
        <v>71</v>
      </c>
      <c r="E25" s="115"/>
      <c r="F25" s="115" t="s">
        <v>71</v>
      </c>
      <c r="G25" s="115"/>
      <c r="H25" s="115" t="s">
        <v>71</v>
      </c>
      <c r="I25" s="115"/>
      <c r="J25" s="115">
        <f>J24*2</f>
        <v>0</v>
      </c>
      <c r="K25" s="115"/>
      <c r="L25" s="115" t="s">
        <v>71</v>
      </c>
      <c r="M25" s="115"/>
      <c r="N25" s="115" t="s">
        <v>71</v>
      </c>
      <c r="O25" s="115"/>
      <c r="P25" s="115" t="s">
        <v>71</v>
      </c>
      <c r="Q25" s="115"/>
      <c r="R25" s="115" t="s">
        <v>65</v>
      </c>
      <c r="S25" s="59"/>
      <c r="T25" s="112"/>
      <c r="U25" s="112"/>
      <c r="V25" s="113">
        <f>L15+L16</f>
        <v>0</v>
      </c>
      <c r="W25" s="113"/>
      <c r="X25" s="113">
        <f>VLOOKUP(V25,人物数据!C2:F22,3,FALSE())</f>
        <v>2.25</v>
      </c>
      <c r="Y25" s="113"/>
      <c r="Z25" s="113">
        <f>VLOOKUP(V25,人物数据!C2:F22,4,FALSE())</f>
        <v>4.5</v>
      </c>
      <c r="AA25" s="113"/>
      <c r="AB25" s="44"/>
    </row>
    <row r="26" customHeight="1" spans="1:28">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row>
    <row r="27" customHeight="1" spans="1:28">
      <c r="A27" s="44"/>
      <c r="B27" s="87" t="s">
        <v>72</v>
      </c>
      <c r="C27" s="87"/>
      <c r="D27" s="94" t="s">
        <v>31</v>
      </c>
      <c r="E27" s="97"/>
      <c r="F27" s="94" t="s">
        <v>73</v>
      </c>
      <c r="G27" s="97"/>
      <c r="H27" s="94" t="s">
        <v>74</v>
      </c>
      <c r="I27" s="97"/>
      <c r="J27" s="94" t="s">
        <v>75</v>
      </c>
      <c r="K27" s="97"/>
      <c r="L27" s="94" t="s">
        <v>76</v>
      </c>
      <c r="M27" s="97"/>
      <c r="N27" s="87" t="s">
        <v>38</v>
      </c>
      <c r="O27" s="87"/>
      <c r="P27" s="87"/>
      <c r="Q27" s="87"/>
      <c r="R27" s="87"/>
      <c r="S27" s="44"/>
      <c r="T27" s="87" t="s">
        <v>77</v>
      </c>
      <c r="U27" s="87"/>
      <c r="V27" s="87"/>
      <c r="W27" s="87"/>
      <c r="X27" s="87"/>
      <c r="Y27" s="87"/>
      <c r="Z27" s="87"/>
      <c r="AA27" s="87"/>
      <c r="AB27" s="44"/>
    </row>
    <row r="28" customHeight="1" spans="1:28">
      <c r="A28" s="44"/>
      <c r="B28" s="87"/>
      <c r="C28" s="87"/>
      <c r="D28" s="116">
        <f>L17</f>
        <v>0</v>
      </c>
      <c r="E28" s="116"/>
      <c r="F28" s="116" t="s">
        <v>78</v>
      </c>
      <c r="G28" s="116"/>
      <c r="H28" s="116" t="s">
        <v>78</v>
      </c>
      <c r="I28" s="116"/>
      <c r="J28" s="116" t="s">
        <v>78</v>
      </c>
      <c r="K28" s="116"/>
      <c r="L28" s="116" t="s">
        <v>79</v>
      </c>
      <c r="M28" s="116"/>
      <c r="N28" s="117" t="str">
        <f>"1D10+"&amp;(IF(H28="是",D28*2,D28)+IF(F28="是",2,0)+IF(J28="是",1,0))</f>
        <v>1D10+0</v>
      </c>
      <c r="O28" s="117"/>
      <c r="P28" s="117"/>
      <c r="Q28" s="117"/>
      <c r="R28" s="117"/>
      <c r="S28" s="44"/>
      <c r="T28" s="118" t="s">
        <v>80</v>
      </c>
      <c r="U28" s="118" t="s">
        <v>81</v>
      </c>
      <c r="V28" s="118" t="s">
        <v>82</v>
      </c>
      <c r="W28" s="118" t="s">
        <v>83</v>
      </c>
      <c r="X28" s="119" t="s">
        <v>84</v>
      </c>
      <c r="Y28" s="118"/>
      <c r="Z28" s="118"/>
      <c r="AA28" s="118"/>
      <c r="AB28" s="44"/>
    </row>
    <row r="29" customHeight="1" spans="1:28">
      <c r="A29" s="44"/>
      <c r="B29" s="44"/>
      <c r="C29" s="44"/>
      <c r="D29" s="44"/>
      <c r="E29" s="44"/>
      <c r="F29" s="44"/>
      <c r="G29" s="44"/>
      <c r="H29" s="44"/>
      <c r="I29" s="44"/>
      <c r="J29" s="44"/>
      <c r="K29" s="44"/>
      <c r="L29" s="44"/>
      <c r="M29" s="44"/>
      <c r="N29" s="44"/>
      <c r="O29" s="44"/>
      <c r="P29" s="44"/>
      <c r="Q29" s="44"/>
      <c r="R29" s="44"/>
      <c r="S29" s="44"/>
      <c r="T29" s="120">
        <v>1</v>
      </c>
      <c r="U29" s="121"/>
      <c r="V29" s="121"/>
      <c r="W29" s="121"/>
      <c r="X29" s="122" t="str">
        <f>TEXT(SUM(U$29:W29),"0")&amp;"/"</f>
        <v>0/</v>
      </c>
      <c r="Y29" s="122"/>
      <c r="Z29" s="123">
        <v>500</v>
      </c>
      <c r="AA29" s="123"/>
      <c r="AB29" s="124"/>
    </row>
    <row r="30" customHeight="1" spans="1:28">
      <c r="A30" s="44" t="str">
        <f>".st"&amp;"格斗"&amp;K13&amp;"近战"&amp;K13&amp;"射击"&amp;K14&amp;"远程"&amp;K14&amp;"力量"&amp;K15&amp;"坚韧"&amp;K16&amp;"敏捷"&amp;K17&amp;"智力"&amp;K18&amp;"感知"&amp;K19&amp;"意志"&amp;K20&amp;"交际"&amp;K21&amp;"生命值"&amp;R54&amp;"生命值上限"&amp;P54&amp;"命运点"&amp;M20&amp;"命运点上限"&amp;M15&amp;"威胁"&amp;I32&amp;"恐吓"&amp;I32&amp;"攀爬"&amp;I33&amp;"运动"&amp;I33&amp;B34&amp;I34&amp;"酗酒"&amp;I35&amp;"狂饮"&amp;I35&amp;B36&amp;I36&amp;B37&amp;I37&amp;B38&amp;I38&amp;B39&amp;I39&amp;B40&amp;I40&amp;B41&amp;I41&amp;B42&amp;I42&amp;"搜查"&amp;I43&amp;"搜索"&amp;I43&amp;B44&amp;I44&amp;B45&amp;I45&amp;B46&amp;I46&amp;B47&amp;I47&amp;B48&amp;I48&amp;B49&amp;I49&amp;B50&amp;I50&amp;B51&amp;I51&amp;A65</f>
        <v>.st格斗0近战0射击0远程0力量0坚韧0敏捷0智力0感知0意志0交际0生命值生命值上限0命运点命运点上限威胁0恐吓0攀爬0运动0游泳0酗酒0狂饮0躲藏0闪避0潜行0估价0逻辑0赌博0警觉0搜查0搜索0察言观色0交易0欺诈0搜集信息0伪装0吸引0扯淡0指挥0</v>
      </c>
      <c r="B30" s="87" t="s">
        <v>85</v>
      </c>
      <c r="C30" s="87"/>
      <c r="D30" s="87"/>
      <c r="E30" s="87"/>
      <c r="F30" s="87"/>
      <c r="G30" s="87"/>
      <c r="H30" s="87"/>
      <c r="I30" s="87"/>
      <c r="J30" s="87"/>
      <c r="K30" s="87"/>
      <c r="L30" s="87"/>
      <c r="M30" s="87"/>
      <c r="N30" s="87"/>
      <c r="O30" s="87"/>
      <c r="P30" s="87"/>
      <c r="Q30" s="87"/>
      <c r="R30" s="87"/>
      <c r="S30" s="44"/>
      <c r="T30" s="120">
        <v>2</v>
      </c>
      <c r="U30" s="121"/>
      <c r="V30" s="121"/>
      <c r="W30" s="121"/>
      <c r="X30" s="122" t="str">
        <f>TEXT(SUM(U$29:W30),"0")&amp;"/"</f>
        <v>0/</v>
      </c>
      <c r="Y30" s="122"/>
      <c r="Z30" s="123">
        <v>1000</v>
      </c>
      <c r="AA30" s="123"/>
      <c r="AB30" s="124"/>
    </row>
    <row r="31" customHeight="1" spans="1:28">
      <c r="A31" s="44"/>
      <c r="B31" s="125" t="s">
        <v>86</v>
      </c>
      <c r="C31" s="125"/>
      <c r="D31" s="125" t="s">
        <v>81</v>
      </c>
      <c r="E31" s="125" t="s">
        <v>87</v>
      </c>
      <c r="F31" s="125" t="s">
        <v>88</v>
      </c>
      <c r="G31" s="125" t="s">
        <v>89</v>
      </c>
      <c r="H31" s="125" t="s">
        <v>83</v>
      </c>
      <c r="I31" s="126" t="s">
        <v>90</v>
      </c>
      <c r="J31" s="125" t="s">
        <v>91</v>
      </c>
      <c r="K31" s="125"/>
      <c r="L31" s="125"/>
      <c r="M31" s="125"/>
      <c r="N31" s="125"/>
      <c r="O31" s="125"/>
      <c r="P31" s="125"/>
      <c r="Q31" s="125"/>
      <c r="R31" s="125" t="s">
        <v>92</v>
      </c>
      <c r="S31" s="44"/>
      <c r="T31" s="120">
        <v>3</v>
      </c>
      <c r="U31" s="121"/>
      <c r="V31" s="121"/>
      <c r="W31" s="121"/>
      <c r="X31" s="122" t="str">
        <f>TEXT(SUM(U$29:W31),"0")&amp;"/"</f>
        <v>0/</v>
      </c>
      <c r="Y31" s="122"/>
      <c r="Z31" s="123">
        <v>2000</v>
      </c>
      <c r="AA31" s="123"/>
      <c r="AB31" s="124"/>
    </row>
    <row r="32" customHeight="1" spans="1:28">
      <c r="A32" s="44"/>
      <c r="B32" s="127" t="s">
        <v>93</v>
      </c>
      <c r="C32" s="127"/>
      <c r="D32" s="104" t="s">
        <v>94</v>
      </c>
      <c r="E32" s="128"/>
      <c r="F32" s="128"/>
      <c r="G32" s="129"/>
      <c r="H32" s="129"/>
      <c r="I32" s="130">
        <f>IF(E32&lt;&gt;"",K15,ROUNDUP(K15/2,0))+IF(F32&lt;&gt;"",10,0)+IF(G32&lt;&gt;"",10,0)+IF(H32&lt;&gt;"",10,0)</f>
        <v>0</v>
      </c>
      <c r="J32" s="128"/>
      <c r="K32" s="128"/>
      <c r="L32" s="128"/>
      <c r="M32" s="128"/>
      <c r="N32" s="128"/>
      <c r="O32" s="128"/>
      <c r="P32" s="128"/>
      <c r="Q32" s="128"/>
      <c r="R32" s="88">
        <f t="shared" ref="R32:R51" si="2">E32+F32+G32+H32</f>
        <v>0</v>
      </c>
      <c r="S32" s="44"/>
      <c r="T32" s="120">
        <v>4</v>
      </c>
      <c r="U32" s="121"/>
      <c r="V32" s="121"/>
      <c r="W32" s="121"/>
      <c r="X32" s="122" t="str">
        <f>TEXT(SUM(U$29:W32),"0")&amp;"/"</f>
        <v>0/</v>
      </c>
      <c r="Y32" s="122"/>
      <c r="Z32" s="123">
        <v>3000</v>
      </c>
      <c r="AA32" s="123"/>
      <c r="AB32" s="124"/>
    </row>
    <row r="33" customHeight="1" spans="1:68">
      <c r="A33" s="44"/>
      <c r="B33" s="127" t="s">
        <v>95</v>
      </c>
      <c r="C33" s="127"/>
      <c r="D33" s="104" t="s">
        <v>94</v>
      </c>
      <c r="E33" s="128"/>
      <c r="F33" s="128"/>
      <c r="G33" s="129"/>
      <c r="H33" s="129"/>
      <c r="I33" s="130">
        <f>IF(E33&lt;&gt;"",K15,ROUNDUP(K15/2,0))+IF(F33&lt;&gt;"",10,0)+IF(G33&lt;&gt;"",10,0)+IF(H33&lt;&gt;"",10,0)</f>
        <v>0</v>
      </c>
      <c r="J33" s="128"/>
      <c r="K33" s="128"/>
      <c r="L33" s="128"/>
      <c r="M33" s="128"/>
      <c r="N33" s="128"/>
      <c r="O33" s="128"/>
      <c r="P33" s="128"/>
      <c r="Q33" s="128"/>
      <c r="R33" s="88">
        <f t="shared" si="2"/>
        <v>0</v>
      </c>
      <c r="S33" s="44"/>
      <c r="T33" s="120">
        <v>5</v>
      </c>
      <c r="U33" s="121"/>
      <c r="V33" s="121"/>
      <c r="W33" s="121"/>
      <c r="X33" s="122" t="str">
        <f>TEXT(SUM(U$29:W33),"0")&amp;"/"</f>
        <v>0/</v>
      </c>
      <c r="Y33" s="122"/>
      <c r="Z33" s="123">
        <v>5000</v>
      </c>
      <c r="AA33" s="123"/>
      <c r="AB33" s="124"/>
    </row>
    <row r="34" customHeight="1" spans="1:68">
      <c r="A34" s="44"/>
      <c r="B34" s="127" t="s">
        <v>96</v>
      </c>
      <c r="C34" s="127"/>
      <c r="D34" s="104" t="s">
        <v>94</v>
      </c>
      <c r="E34" s="128"/>
      <c r="F34" s="128"/>
      <c r="G34" s="129"/>
      <c r="H34" s="129"/>
      <c r="I34" s="130">
        <f>IF(E34&lt;&gt;"",K15,ROUNDUP(K15/2,0))+IF(F34&lt;&gt;"",10,0)+IF(G34&lt;&gt;"",10,0)+IF(H34&lt;&gt;"",10,0)</f>
        <v>0</v>
      </c>
      <c r="J34" s="128"/>
      <c r="K34" s="128"/>
      <c r="L34" s="128"/>
      <c r="M34" s="128"/>
      <c r="N34" s="128"/>
      <c r="O34" s="128"/>
      <c r="P34" s="128"/>
      <c r="Q34" s="128"/>
      <c r="R34" s="88">
        <f t="shared" si="2"/>
        <v>0</v>
      </c>
      <c r="S34" s="44"/>
      <c r="T34" s="120">
        <v>6</v>
      </c>
      <c r="U34" s="121"/>
      <c r="V34" s="121"/>
      <c r="W34" s="121"/>
      <c r="X34" s="122" t="str">
        <f>TEXT(SUM(U$29:W34),"0")&amp;"/"</f>
        <v>0/</v>
      </c>
      <c r="Y34" s="122"/>
      <c r="Z34" s="123">
        <v>7000</v>
      </c>
      <c r="AA34" s="123"/>
      <c r="AB34" s="124"/>
    </row>
    <row r="35" customHeight="1" spans="1:68">
      <c r="A35" s="44"/>
      <c r="B35" s="127" t="s">
        <v>97</v>
      </c>
      <c r="C35" s="127"/>
      <c r="D35" s="104" t="s">
        <v>98</v>
      </c>
      <c r="E35" s="128"/>
      <c r="F35" s="128"/>
      <c r="G35" s="128"/>
      <c r="H35" s="128"/>
      <c r="I35" s="130">
        <f>IF(E35&lt;&gt;"",K16,ROUNDUP(K16/2,0))+IF(F35&lt;&gt;"",10,0)+IF(G35&lt;&gt;"",10,0)+IF(H35&lt;&gt;"",10,0)</f>
        <v>0</v>
      </c>
      <c r="J35" s="128"/>
      <c r="K35" s="128"/>
      <c r="L35" s="128"/>
      <c r="M35" s="128"/>
      <c r="N35" s="128"/>
      <c r="O35" s="128"/>
      <c r="P35" s="128"/>
      <c r="Q35" s="128"/>
      <c r="R35" s="88">
        <f t="shared" si="2"/>
        <v>0</v>
      </c>
      <c r="S35" s="44"/>
      <c r="T35" s="120">
        <v>7</v>
      </c>
      <c r="U35" s="121"/>
      <c r="V35" s="121"/>
      <c r="W35" s="121"/>
      <c r="X35" s="122" t="str">
        <f>TEXT(SUM(U$29:W35),"0")&amp;"/"</f>
        <v>0/</v>
      </c>
      <c r="Y35" s="122"/>
      <c r="Z35" s="123">
        <v>10000</v>
      </c>
      <c r="AA35" s="123"/>
      <c r="AB35" s="124"/>
    </row>
    <row r="36" customHeight="1" spans="1:68">
      <c r="A36" s="44"/>
      <c r="B36" s="127" t="s">
        <v>99</v>
      </c>
      <c r="C36" s="127"/>
      <c r="D36" s="104" t="s">
        <v>100</v>
      </c>
      <c r="E36" s="128"/>
      <c r="F36" s="128"/>
      <c r="G36" s="128"/>
      <c r="H36" s="128"/>
      <c r="I36" s="130">
        <f>IF(E36&lt;&gt;"",K17,ROUNDUP(K17/2,0))+IF(F36&lt;&gt;"",10,0)+IF(G36&lt;&gt;"",10,0)+IF(H36&lt;&gt;"",10,0)</f>
        <v>0</v>
      </c>
      <c r="J36" s="128"/>
      <c r="K36" s="128"/>
      <c r="L36" s="128"/>
      <c r="M36" s="128"/>
      <c r="N36" s="128"/>
      <c r="O36" s="128"/>
      <c r="P36" s="128"/>
      <c r="Q36" s="128"/>
      <c r="R36" s="88">
        <f t="shared" si="2"/>
        <v>0</v>
      </c>
      <c r="S36" s="44"/>
      <c r="T36" s="120">
        <v>8</v>
      </c>
      <c r="U36" s="121"/>
      <c r="V36" s="121"/>
      <c r="W36" s="121"/>
      <c r="X36" s="122" t="str">
        <f>TEXT(SUM(U$29:W36),"0")&amp;"/"</f>
        <v>0/</v>
      </c>
      <c r="Y36" s="122"/>
      <c r="Z36" s="123">
        <v>13000</v>
      </c>
      <c r="AA36" s="123"/>
      <c r="AB36" s="124"/>
    </row>
    <row r="37" customHeight="1" spans="1:68">
      <c r="A37" s="44"/>
      <c r="B37" s="127" t="s">
        <v>101</v>
      </c>
      <c r="C37" s="127"/>
      <c r="D37" s="104" t="s">
        <v>100</v>
      </c>
      <c r="E37" s="128"/>
      <c r="F37" s="128"/>
      <c r="G37" s="128"/>
      <c r="H37" s="128"/>
      <c r="I37" s="130">
        <f>IF(E37&lt;&gt;"",K17,ROUNDUP(K17/2,0))+IF(F37&lt;&gt;"",10,0)+IF(G37&lt;&gt;"",10,0)+IF(H37&lt;&gt;"",10,0)</f>
        <v>0</v>
      </c>
      <c r="J37" s="128"/>
      <c r="K37" s="128"/>
      <c r="L37" s="128"/>
      <c r="M37" s="128"/>
      <c r="N37" s="128"/>
      <c r="O37" s="128"/>
      <c r="P37" s="128"/>
      <c r="Q37" s="128"/>
      <c r="R37" s="88">
        <f t="shared" si="2"/>
        <v>0</v>
      </c>
      <c r="S37" s="44"/>
      <c r="T37" s="120">
        <v>9</v>
      </c>
      <c r="U37" s="121"/>
      <c r="V37" s="121"/>
      <c r="W37" s="121"/>
      <c r="X37" s="122" t="str">
        <f>TEXT(SUM(U$29:W37),"0")&amp;"/"</f>
        <v>0/</v>
      </c>
      <c r="Y37" s="122"/>
      <c r="Z37" s="123">
        <v>17000</v>
      </c>
      <c r="AA37" s="123"/>
      <c r="AB37" s="124"/>
    </row>
    <row r="38" customHeight="1" spans="1:68">
      <c r="A38" s="44"/>
      <c r="B38" s="127" t="s">
        <v>102</v>
      </c>
      <c r="C38" s="127"/>
      <c r="D38" s="104" t="s">
        <v>100</v>
      </c>
      <c r="E38" s="128"/>
      <c r="F38" s="128"/>
      <c r="G38" s="128"/>
      <c r="H38" s="128"/>
      <c r="I38" s="130">
        <f>IF(E38&lt;&gt;"",K17,ROUNDUP(K17/2,0))+IF(F38&lt;&gt;"",10,0)+IF(G38&lt;&gt;"",10,0)+IF(H38&lt;&gt;"",10,0)</f>
        <v>0</v>
      </c>
      <c r="J38" s="128"/>
      <c r="K38" s="128"/>
      <c r="L38" s="128"/>
      <c r="M38" s="128"/>
      <c r="N38" s="128"/>
      <c r="O38" s="128"/>
      <c r="P38" s="128"/>
      <c r="Q38" s="128"/>
      <c r="R38" s="88">
        <f t="shared" si="2"/>
        <v>0</v>
      </c>
      <c r="S38" s="44"/>
      <c r="T38" s="120">
        <v>10</v>
      </c>
      <c r="U38" s="121"/>
      <c r="V38" s="121"/>
      <c r="W38" s="121"/>
      <c r="X38" s="122" t="str">
        <f>TEXT(SUM(U$29:W38),"0")&amp;"/"</f>
        <v>0/</v>
      </c>
      <c r="Y38" s="122"/>
      <c r="Z38" s="123">
        <v>21000</v>
      </c>
      <c r="AA38" s="123"/>
      <c r="AB38" s="124"/>
    </row>
    <row r="39" customHeight="1" spans="1:68">
      <c r="A39" s="44"/>
      <c r="B39" s="127" t="s">
        <v>103</v>
      </c>
      <c r="C39" s="127"/>
      <c r="D39" s="104" t="s">
        <v>104</v>
      </c>
      <c r="E39" s="128"/>
      <c r="F39" s="128"/>
      <c r="G39" s="128"/>
      <c r="H39" s="128"/>
      <c r="I39" s="130">
        <f>IF(E39&lt;&gt;"",K18,ROUNDUP(K18/2,0))+IF(F39&lt;&gt;"",10,0)+IF(G39&lt;&gt;"",10,0)+IF(H39&lt;&gt;"",10,0)</f>
        <v>0</v>
      </c>
      <c r="J39" s="128"/>
      <c r="K39" s="128"/>
      <c r="L39" s="128"/>
      <c r="M39" s="128"/>
      <c r="N39" s="128"/>
      <c r="O39" s="128"/>
      <c r="P39" s="128"/>
      <c r="Q39" s="128"/>
      <c r="R39" s="88">
        <f t="shared" si="2"/>
        <v>0</v>
      </c>
      <c r="S39" s="44"/>
      <c r="T39" s="120">
        <v>11</v>
      </c>
      <c r="U39" s="121"/>
      <c r="V39" s="121"/>
      <c r="W39" s="121"/>
      <c r="X39" s="122" t="str">
        <f>TEXT(SUM(U$29:W39),"0")&amp;"/"</f>
        <v>0/</v>
      </c>
      <c r="Y39" s="122"/>
      <c r="Z39" s="123">
        <v>25000</v>
      </c>
      <c r="AA39" s="123"/>
      <c r="AB39" s="124"/>
    </row>
    <row r="40" customHeight="1" spans="1:68">
      <c r="A40" s="44"/>
      <c r="B40" s="127" t="s">
        <v>105</v>
      </c>
      <c r="C40" s="127"/>
      <c r="D40" s="104" t="s">
        <v>104</v>
      </c>
      <c r="E40" s="128"/>
      <c r="F40" s="128"/>
      <c r="G40" s="128"/>
      <c r="H40" s="128"/>
      <c r="I40" s="130">
        <f>IF(E40&lt;&gt;"",K18,ROUNDUP(K18/2,0))+IF(F40&lt;&gt;"",10,0)+IF(G40&lt;&gt;"",10,0)+IF(H40&lt;&gt;"",10,0)</f>
        <v>0</v>
      </c>
      <c r="J40" s="128"/>
      <c r="K40" s="128"/>
      <c r="L40" s="128"/>
      <c r="M40" s="128"/>
      <c r="N40" s="128"/>
      <c r="O40" s="128"/>
      <c r="P40" s="128"/>
      <c r="Q40" s="128"/>
      <c r="R40" s="88">
        <f t="shared" si="2"/>
        <v>0</v>
      </c>
      <c r="S40" s="44"/>
      <c r="T40" s="120">
        <v>12</v>
      </c>
      <c r="U40" s="121"/>
      <c r="V40" s="121"/>
      <c r="W40" s="121"/>
      <c r="X40" s="122" t="str">
        <f>TEXT(SUM(U$29:W40),"0")&amp;"/"</f>
        <v>0/</v>
      </c>
      <c r="Y40" s="122"/>
      <c r="Z40" s="123">
        <v>30000</v>
      </c>
      <c r="AA40" s="123"/>
      <c r="AB40" s="124"/>
    </row>
    <row r="41" customHeight="1" spans="1:68">
      <c r="A41" s="44"/>
      <c r="B41" s="127" t="s">
        <v>106</v>
      </c>
      <c r="C41" s="127"/>
      <c r="D41" s="104" t="s">
        <v>104</v>
      </c>
      <c r="E41" s="128"/>
      <c r="F41" s="128"/>
      <c r="G41" s="128"/>
      <c r="H41" s="128"/>
      <c r="I41" s="130">
        <f>IF(E41&lt;&gt;"",K18,ROUNDUP(K18/2,0))+IF(F41&lt;&gt;"",10,0)+IF(G41&lt;&gt;"",10,0)+IF(H41&lt;&gt;"",10,0)</f>
        <v>0</v>
      </c>
      <c r="J41" s="128"/>
      <c r="K41" s="128"/>
      <c r="L41" s="128"/>
      <c r="M41" s="128"/>
      <c r="N41" s="128"/>
      <c r="O41" s="128"/>
      <c r="P41" s="128"/>
      <c r="Q41" s="128"/>
      <c r="R41" s="88">
        <f t="shared" si="2"/>
        <v>0</v>
      </c>
      <c r="S41" s="44"/>
      <c r="T41" s="120">
        <v>13</v>
      </c>
      <c r="U41" s="121"/>
      <c r="V41" s="121"/>
      <c r="W41" s="121"/>
      <c r="X41" s="122" t="str">
        <f>TEXT(SUM(U$29:W41),"0")&amp;"/"</f>
        <v>0/</v>
      </c>
      <c r="Y41" s="122"/>
      <c r="Z41" s="123">
        <v>35000</v>
      </c>
      <c r="AA41" s="123"/>
      <c r="AB41" s="124"/>
    </row>
    <row r="42" customHeight="1" spans="1:68">
      <c r="A42" s="44"/>
      <c r="B42" s="127" t="s">
        <v>107</v>
      </c>
      <c r="C42" s="127"/>
      <c r="D42" s="104" t="s">
        <v>108</v>
      </c>
      <c r="E42" s="128"/>
      <c r="F42" s="128"/>
      <c r="G42" s="128"/>
      <c r="H42" s="128"/>
      <c r="I42" s="130">
        <f>IF(E42&lt;&gt;"",K19,ROUNDUP(K19/2,0))+IF(F42&lt;&gt;"",10,0)+IF(G42&lt;&gt;"",10,0)+IF(H42&lt;&gt;"",10,0)</f>
        <v>0</v>
      </c>
      <c r="J42" s="128"/>
      <c r="K42" s="128"/>
      <c r="L42" s="128"/>
      <c r="M42" s="128"/>
      <c r="N42" s="128"/>
      <c r="O42" s="128"/>
      <c r="P42" s="128"/>
      <c r="Q42" s="128"/>
      <c r="R42" s="88">
        <f t="shared" si="2"/>
        <v>0</v>
      </c>
      <c r="S42" s="44"/>
      <c r="T42" s="120">
        <v>14</v>
      </c>
      <c r="U42" s="121"/>
      <c r="V42" s="121"/>
      <c r="W42" s="121"/>
      <c r="X42" s="122" t="str">
        <f>TEXT(SUM(U$29:W42),"0")&amp;"/"</f>
        <v>0/</v>
      </c>
      <c r="Y42" s="122"/>
      <c r="Z42" s="123">
        <v>40000</v>
      </c>
      <c r="AA42" s="123"/>
      <c r="AB42" s="124"/>
    </row>
    <row r="43" customHeight="1" spans="1:68">
      <c r="A43" s="44"/>
      <c r="B43" s="131" t="s">
        <v>109</v>
      </c>
      <c r="C43" s="131"/>
      <c r="D43" s="104" t="s">
        <v>108</v>
      </c>
      <c r="E43" s="128"/>
      <c r="F43" s="128"/>
      <c r="G43" s="128"/>
      <c r="H43" s="128"/>
      <c r="I43" s="130">
        <f>IF(E43&lt;&gt;"",K19,ROUNDUP(K19/2,0))+IF(F43&lt;&gt;"",10,0)+IF(G43&lt;&gt;"",10,0)+IF(H43&lt;&gt;"",10,0)</f>
        <v>0</v>
      </c>
      <c r="J43" s="128"/>
      <c r="K43" s="128"/>
      <c r="L43" s="128"/>
      <c r="M43" s="128"/>
      <c r="N43" s="128"/>
      <c r="O43" s="128"/>
      <c r="P43" s="128"/>
      <c r="Q43" s="128"/>
      <c r="R43" s="88">
        <f t="shared" si="2"/>
        <v>0</v>
      </c>
      <c r="S43" s="44"/>
      <c r="T43" s="120">
        <v>15</v>
      </c>
      <c r="U43" s="121"/>
      <c r="V43" s="121"/>
      <c r="W43" s="121"/>
      <c r="X43" s="122" t="str">
        <f>TEXT(SUM(U$29:W43),"0")&amp;"/"</f>
        <v>0/</v>
      </c>
      <c r="Y43" s="122"/>
      <c r="Z43" s="123">
        <v>45000</v>
      </c>
      <c r="AA43" s="123"/>
      <c r="AB43" s="124"/>
    </row>
    <row r="44" customHeight="1" spans="1:68">
      <c r="A44" s="44"/>
      <c r="B44" s="127" t="s">
        <v>110</v>
      </c>
      <c r="C44" s="127"/>
      <c r="D44" s="104" t="s">
        <v>108</v>
      </c>
      <c r="E44" s="128"/>
      <c r="F44" s="128"/>
      <c r="G44" s="128"/>
      <c r="H44" s="128"/>
      <c r="I44" s="130">
        <f>IF(E44&lt;&gt;"",K19,ROUNDUP(K19/2,0))+IF(F44&lt;&gt;"",10,0)+IF(G44&lt;&gt;"",10,0)+IF(H44&lt;&gt;"",10,0)</f>
        <v>0</v>
      </c>
      <c r="J44" s="128"/>
      <c r="K44" s="128"/>
      <c r="L44" s="128"/>
      <c r="M44" s="128"/>
      <c r="N44" s="128"/>
      <c r="O44" s="128"/>
      <c r="P44" s="128"/>
      <c r="Q44" s="128"/>
      <c r="R44" s="88">
        <f t="shared" si="2"/>
        <v>0</v>
      </c>
      <c r="S44" s="44"/>
      <c r="T44" s="132">
        <v>16</v>
      </c>
      <c r="U44" s="133"/>
      <c r="V44" s="133"/>
      <c r="W44" s="133"/>
      <c r="X44" s="122" t="str">
        <f>TEXT(SUM(U$29:W44),"0")&amp;"/"</f>
        <v>0/</v>
      </c>
      <c r="Y44" s="122"/>
      <c r="Z44" s="123">
        <v>50000</v>
      </c>
      <c r="AA44" s="123"/>
      <c r="AB44" s="124"/>
      <c r="AW44" s="134"/>
      <c r="AX44" s="134"/>
      <c r="AY44" s="134"/>
      <c r="AZ44" s="134"/>
      <c r="BA44" s="134"/>
      <c r="BB44" s="134"/>
      <c r="BC44" s="134"/>
      <c r="BD44" s="134"/>
      <c r="BE44" s="134"/>
      <c r="BF44" s="134"/>
      <c r="BG44" s="134"/>
      <c r="BH44" s="134"/>
      <c r="BI44" s="134"/>
      <c r="BJ44" s="134"/>
      <c r="BK44" s="134"/>
      <c r="BL44" s="134"/>
      <c r="BM44" s="134"/>
      <c r="BN44" s="134"/>
      <c r="BO44" s="134"/>
    </row>
    <row r="45" customHeight="1" spans="1:68">
      <c r="A45" s="44"/>
      <c r="B45" s="127" t="s">
        <v>111</v>
      </c>
      <c r="C45" s="127"/>
      <c r="D45" s="104" t="s">
        <v>112</v>
      </c>
      <c r="E45" s="128"/>
      <c r="F45" s="128"/>
      <c r="G45" s="128"/>
      <c r="H45" s="128"/>
      <c r="I45" s="130">
        <f>IF(E45&lt;&gt;"",K21,ROUNDUP(K21/2,0))+IF(F45&lt;&gt;"",10,0)+IF(G45&lt;&gt;"",10,0)+IF(H45&lt;&gt;"",10,0)</f>
        <v>0</v>
      </c>
      <c r="J45" s="128"/>
      <c r="K45" s="128"/>
      <c r="L45" s="128"/>
      <c r="M45" s="128"/>
      <c r="N45" s="128"/>
      <c r="O45" s="128"/>
      <c r="P45" s="128"/>
      <c r="Q45" s="128"/>
      <c r="R45" s="88">
        <f t="shared" si="2"/>
        <v>0</v>
      </c>
      <c r="S45" s="44"/>
      <c r="T45" s="87" t="s">
        <v>113</v>
      </c>
      <c r="U45" s="87"/>
      <c r="V45" s="87"/>
      <c r="W45" s="87"/>
      <c r="X45" s="87"/>
      <c r="Y45" s="87"/>
      <c r="Z45" s="87"/>
      <c r="AA45" s="87"/>
      <c r="AB45" s="44"/>
      <c r="AW45" s="134"/>
      <c r="AX45" s="134"/>
      <c r="AY45" s="134"/>
      <c r="AZ45" s="134"/>
      <c r="BA45" s="134"/>
      <c r="BB45" s="134"/>
      <c r="BC45" s="134"/>
      <c r="BD45" s="134"/>
      <c r="BE45" s="134"/>
      <c r="BF45" s="134"/>
      <c r="BG45" s="134"/>
      <c r="BH45" s="134"/>
      <c r="BI45" s="134"/>
      <c r="BJ45" s="134"/>
      <c r="BK45" s="134"/>
      <c r="BL45" s="134"/>
      <c r="BM45" s="134"/>
      <c r="BN45" s="134"/>
      <c r="BO45" s="134"/>
      <c r="BP45" s="134"/>
    </row>
    <row r="46" customHeight="1" spans="1:68">
      <c r="A46" s="44"/>
      <c r="B46" s="127" t="s">
        <v>114</v>
      </c>
      <c r="C46" s="127"/>
      <c r="D46" s="104" t="s">
        <v>112</v>
      </c>
      <c r="E46" s="128"/>
      <c r="F46" s="128"/>
      <c r="G46" s="128"/>
      <c r="H46" s="128"/>
      <c r="I46" s="130">
        <f>IF(E46&lt;&gt;"",K21,ROUNDUP(K21/2,0))+IF(F46&lt;&gt;"",10,0)+IF(G46&lt;&gt;"",10,0)+IF(H46&lt;&gt;"",10,0)</f>
        <v>0</v>
      </c>
      <c r="J46" s="128"/>
      <c r="K46" s="128"/>
      <c r="L46" s="128"/>
      <c r="M46" s="128"/>
      <c r="N46" s="128"/>
      <c r="O46" s="128"/>
      <c r="P46" s="128"/>
      <c r="Q46" s="128"/>
      <c r="R46" s="88">
        <f t="shared" si="2"/>
        <v>0</v>
      </c>
      <c r="S46" s="44"/>
      <c r="T46" s="135" t="s">
        <v>31</v>
      </c>
      <c r="U46" s="135"/>
      <c r="V46" s="136"/>
      <c r="W46" s="136"/>
      <c r="X46" s="136"/>
      <c r="Y46" s="136"/>
      <c r="Z46" s="136"/>
      <c r="AA46" s="136"/>
      <c r="AB46" s="44"/>
      <c r="AW46" s="134"/>
      <c r="AX46" s="134"/>
      <c r="AY46" s="134"/>
      <c r="AZ46" s="134"/>
      <c r="BA46" s="134"/>
      <c r="BB46" s="134"/>
      <c r="BC46" s="134"/>
      <c r="BD46" s="134"/>
      <c r="BE46" s="134"/>
      <c r="BF46" s="134"/>
      <c r="BG46" s="134"/>
      <c r="BH46" s="134"/>
      <c r="BI46" s="134"/>
      <c r="BJ46" s="134"/>
      <c r="BK46" s="134"/>
      <c r="BL46" s="134"/>
      <c r="BM46" s="134"/>
      <c r="BN46" s="134"/>
      <c r="BO46" s="134"/>
      <c r="BP46" s="134"/>
    </row>
    <row r="47" customHeight="1" spans="1:68">
      <c r="A47" s="44"/>
      <c r="B47" s="127" t="s">
        <v>115</v>
      </c>
      <c r="C47" s="127"/>
      <c r="D47" s="104" t="s">
        <v>112</v>
      </c>
      <c r="E47" s="128"/>
      <c r="F47" s="128"/>
      <c r="G47" s="128"/>
      <c r="H47" s="128"/>
      <c r="I47" s="130">
        <f>IF(E47&lt;&gt;"",K21,ROUNDUP(K21/2,0))+IF(F47&lt;&gt;"",10,0)+IF(G47&lt;&gt;"",10,0)+IF(H47&lt;&gt;"",10,0)</f>
        <v>0</v>
      </c>
      <c r="J47" s="128"/>
      <c r="K47" s="128"/>
      <c r="L47" s="128"/>
      <c r="M47" s="128"/>
      <c r="N47" s="128"/>
      <c r="O47" s="128"/>
      <c r="P47" s="128"/>
      <c r="Q47" s="128"/>
      <c r="R47" s="88">
        <f t="shared" si="2"/>
        <v>0</v>
      </c>
      <c r="S47" s="44"/>
      <c r="T47" s="135" t="s">
        <v>116</v>
      </c>
      <c r="U47" s="135"/>
      <c r="V47" s="136"/>
      <c r="W47" s="136"/>
      <c r="X47" s="136"/>
      <c r="Y47" s="136"/>
      <c r="Z47" s="136"/>
      <c r="AA47" s="136"/>
      <c r="AB47" s="44"/>
      <c r="AW47" s="134"/>
      <c r="AX47" s="134"/>
      <c r="AY47" s="134"/>
      <c r="AZ47" s="134"/>
      <c r="BA47" s="134"/>
      <c r="BB47" s="134"/>
      <c r="BC47" s="134"/>
      <c r="BD47" s="134"/>
      <c r="BE47" s="134"/>
      <c r="BF47" s="134"/>
      <c r="BG47" s="134"/>
      <c r="BH47" s="134"/>
      <c r="BI47" s="134"/>
      <c r="BJ47" s="134"/>
      <c r="BK47" s="134"/>
      <c r="BL47" s="134"/>
      <c r="BM47" s="134"/>
      <c r="BN47" s="134"/>
      <c r="BO47" s="134"/>
      <c r="BP47" s="134"/>
    </row>
    <row r="48" customHeight="1" spans="1:68">
      <c r="A48" s="44"/>
      <c r="B48" s="127" t="s">
        <v>117</v>
      </c>
      <c r="C48" s="127"/>
      <c r="D48" s="104" t="s">
        <v>112</v>
      </c>
      <c r="E48" s="128"/>
      <c r="F48" s="128"/>
      <c r="G48" s="128"/>
      <c r="H48" s="128"/>
      <c r="I48" s="130">
        <f>IF(E48&lt;&gt;"",K21,ROUNDUP(K21/2,0))+IF(F48&lt;&gt;"",10,0)+IF(G48&lt;&gt;"",10,0)+IF(H48&lt;&gt;"",10,0)</f>
        <v>0</v>
      </c>
      <c r="J48" s="128"/>
      <c r="K48" s="128"/>
      <c r="L48" s="128"/>
      <c r="M48" s="128"/>
      <c r="N48" s="128"/>
      <c r="O48" s="128"/>
      <c r="P48" s="128"/>
      <c r="Q48" s="128"/>
      <c r="R48" s="88">
        <f t="shared" si="2"/>
        <v>0</v>
      </c>
      <c r="S48" s="44"/>
      <c r="T48" s="135" t="s">
        <v>118</v>
      </c>
      <c r="U48" s="135"/>
      <c r="V48" s="136"/>
      <c r="W48" s="136"/>
      <c r="X48" s="136"/>
      <c r="Y48" s="136"/>
      <c r="Z48" s="136"/>
      <c r="AA48" s="136"/>
      <c r="AB48" s="44"/>
      <c r="AD48" s="137"/>
      <c r="AE48" s="137"/>
      <c r="AF48" s="137"/>
      <c r="AG48" s="137"/>
      <c r="AH48" s="137"/>
      <c r="AI48" s="137"/>
      <c r="AJ48" s="137"/>
      <c r="AK48" s="137"/>
      <c r="AL48" s="137"/>
      <c r="AM48" s="137"/>
      <c r="AN48" s="137"/>
      <c r="AO48" s="137"/>
      <c r="AP48" s="137"/>
      <c r="AQ48" s="137"/>
      <c r="AR48" s="137"/>
      <c r="AS48" s="137"/>
      <c r="AT48" s="137"/>
      <c r="AU48" s="137"/>
      <c r="AV48" s="137"/>
      <c r="AW48" s="137"/>
      <c r="AX48" s="137"/>
      <c r="AY48" s="137"/>
      <c r="AZ48" s="134"/>
      <c r="BA48" s="134"/>
      <c r="BB48" s="134"/>
      <c r="BC48" s="134"/>
      <c r="BD48" s="134"/>
      <c r="BE48" s="134"/>
      <c r="BF48" s="134"/>
      <c r="BG48" s="134"/>
      <c r="BH48" s="134"/>
      <c r="BI48" s="134"/>
      <c r="BJ48" s="134"/>
      <c r="BK48" s="134"/>
      <c r="BL48" s="134"/>
      <c r="BM48" s="134"/>
      <c r="BN48" s="134"/>
      <c r="BO48" s="134"/>
      <c r="BP48" s="134"/>
    </row>
    <row r="49" customHeight="1" spans="1:68">
      <c r="A49" s="44"/>
      <c r="B49" s="127" t="s">
        <v>119</v>
      </c>
      <c r="C49" s="127"/>
      <c r="D49" s="104" t="s">
        <v>112</v>
      </c>
      <c r="E49" s="128"/>
      <c r="F49" s="128"/>
      <c r="G49" s="128"/>
      <c r="H49" s="128"/>
      <c r="I49" s="130">
        <f>IF(E49&lt;&gt;"",K21,ROUNDUP(K21/2,0))+IF(F49&lt;&gt;"",10,0)+IF(G49&lt;&gt;"",10,0)+IF(H49&lt;&gt;"",10,0)</f>
        <v>0</v>
      </c>
      <c r="J49" s="128"/>
      <c r="K49" s="128"/>
      <c r="L49" s="128"/>
      <c r="M49" s="128"/>
      <c r="N49" s="128"/>
      <c r="O49" s="128"/>
      <c r="P49" s="128"/>
      <c r="Q49" s="128"/>
      <c r="R49" s="88">
        <f t="shared" si="2"/>
        <v>0</v>
      </c>
      <c r="S49" s="44"/>
      <c r="T49" s="135" t="s">
        <v>120</v>
      </c>
      <c r="U49" s="135"/>
      <c r="V49" s="136"/>
      <c r="W49" s="136"/>
      <c r="X49" s="136"/>
      <c r="Y49" s="136"/>
      <c r="Z49" s="136"/>
      <c r="AA49" s="136"/>
      <c r="AB49" s="44"/>
      <c r="AD49" s="137"/>
      <c r="AE49" s="137"/>
      <c r="AF49" s="137"/>
      <c r="AG49" s="137"/>
      <c r="AH49" s="137"/>
      <c r="AI49" s="137"/>
      <c r="AJ49" s="137"/>
      <c r="AK49" s="137"/>
      <c r="AL49" s="137"/>
      <c r="AM49" s="137"/>
      <c r="AN49" s="137"/>
      <c r="AO49" s="137"/>
      <c r="AP49" s="137"/>
      <c r="AQ49" s="137"/>
      <c r="AR49" s="137"/>
      <c r="AS49" s="137"/>
      <c r="AT49" s="137"/>
      <c r="AU49" s="137"/>
      <c r="AV49" s="137"/>
      <c r="AW49" s="137"/>
      <c r="AX49" s="137"/>
      <c r="AY49" s="137"/>
      <c r="AZ49" s="134"/>
      <c r="BA49" s="134"/>
      <c r="BB49" s="134"/>
      <c r="BC49" s="134"/>
      <c r="BD49" s="134"/>
      <c r="BE49" s="134"/>
      <c r="BF49" s="134"/>
      <c r="BG49" s="134"/>
      <c r="BH49" s="134"/>
      <c r="BI49" s="134"/>
      <c r="BJ49" s="134"/>
      <c r="BK49" s="134"/>
      <c r="BL49" s="134"/>
      <c r="BM49" s="134"/>
      <c r="BN49" s="134"/>
      <c r="BO49" s="134"/>
      <c r="BP49" s="134"/>
    </row>
    <row r="50" customHeight="1" spans="1:68">
      <c r="A50" s="44"/>
      <c r="B50" s="127" t="s">
        <v>121</v>
      </c>
      <c r="C50" s="127"/>
      <c r="D50" s="104" t="s">
        <v>112</v>
      </c>
      <c r="E50" s="128"/>
      <c r="F50" s="128"/>
      <c r="G50" s="128"/>
      <c r="H50" s="128"/>
      <c r="I50" s="130">
        <f>IF(E50&lt;&gt;"",K21,ROUNDUP(K21/2,0))+IF(F50&lt;&gt;"",10,0)+IF(G50&lt;&gt;"",10,0)+IF(H50&lt;&gt;"",10,0)</f>
        <v>0</v>
      </c>
      <c r="J50" s="128"/>
      <c r="K50" s="128"/>
      <c r="L50" s="128"/>
      <c r="M50" s="128"/>
      <c r="N50" s="128"/>
      <c r="O50" s="128"/>
      <c r="P50" s="128"/>
      <c r="Q50" s="128"/>
      <c r="R50" s="88">
        <f t="shared" si="2"/>
        <v>0</v>
      </c>
      <c r="S50" s="44"/>
      <c r="T50" s="135" t="s">
        <v>122</v>
      </c>
      <c r="U50" s="135"/>
      <c r="V50" s="136"/>
      <c r="W50" s="136"/>
      <c r="X50" s="136"/>
      <c r="Y50" s="136"/>
      <c r="Z50" s="136"/>
      <c r="AA50" s="136"/>
      <c r="AB50" s="44"/>
      <c r="AD50" s="137"/>
      <c r="AE50" s="137"/>
      <c r="AF50" s="137"/>
      <c r="AG50" s="137"/>
      <c r="AH50" s="137"/>
      <c r="AI50" s="137"/>
      <c r="AJ50" s="137"/>
      <c r="AK50" s="137"/>
      <c r="AL50" s="137"/>
      <c r="AM50" s="137"/>
      <c r="AN50" s="137"/>
      <c r="AO50" s="137"/>
      <c r="AP50" s="137"/>
      <c r="AQ50" s="137"/>
      <c r="AR50" s="137"/>
      <c r="AS50" s="137"/>
      <c r="AT50" s="137"/>
      <c r="AU50" s="137"/>
      <c r="AV50" s="137"/>
      <c r="AW50" s="137"/>
      <c r="AX50" s="137"/>
      <c r="AY50" s="137"/>
      <c r="AZ50" s="134"/>
      <c r="BA50" s="134"/>
      <c r="BB50" s="134"/>
      <c r="BC50" s="134"/>
      <c r="BD50" s="134"/>
      <c r="BE50" s="134"/>
      <c r="BF50" s="134"/>
      <c r="BG50" s="134"/>
      <c r="BH50" s="134"/>
      <c r="BI50" s="134"/>
      <c r="BJ50" s="134"/>
      <c r="BK50" s="134"/>
      <c r="BL50" s="134"/>
      <c r="BM50" s="134"/>
      <c r="BN50" s="134"/>
      <c r="BO50" s="134"/>
      <c r="BP50" s="134"/>
    </row>
    <row r="51" customHeight="1" spans="1:68">
      <c r="A51" s="44"/>
      <c r="B51" s="127" t="s">
        <v>123</v>
      </c>
      <c r="C51" s="127"/>
      <c r="D51" s="104" t="s">
        <v>112</v>
      </c>
      <c r="E51" s="128"/>
      <c r="F51" s="128"/>
      <c r="G51" s="128"/>
      <c r="H51" s="128"/>
      <c r="I51" s="130">
        <f>IF(E51&lt;&gt;"",K21,ROUNDUP(K21/2,0))+IF(F51&lt;&gt;"",10,0)+IF(G51&lt;&gt;"",10,0)+IF(H51&lt;&gt;"",10,0)</f>
        <v>0</v>
      </c>
      <c r="J51" s="128"/>
      <c r="K51" s="128"/>
      <c r="L51" s="128"/>
      <c r="M51" s="128"/>
      <c r="N51" s="128"/>
      <c r="O51" s="128"/>
      <c r="P51" s="128"/>
      <c r="Q51" s="128"/>
      <c r="R51" s="88">
        <f t="shared" si="2"/>
        <v>0</v>
      </c>
      <c r="S51" s="44"/>
      <c r="T51" s="135" t="s">
        <v>76</v>
      </c>
      <c r="U51" s="135"/>
      <c r="V51" s="136"/>
      <c r="W51" s="136"/>
      <c r="X51" s="136"/>
      <c r="Y51" s="136"/>
      <c r="Z51" s="136"/>
      <c r="AA51" s="136"/>
      <c r="AB51" s="44"/>
      <c r="AD51" s="137"/>
      <c r="AE51" s="137"/>
      <c r="AF51" s="137"/>
      <c r="AG51" s="137"/>
      <c r="AH51" s="137"/>
      <c r="AI51" s="137"/>
      <c r="AJ51" s="137"/>
      <c r="AK51" s="137"/>
      <c r="AL51" s="137"/>
      <c r="AM51" s="137"/>
      <c r="AN51" s="137"/>
      <c r="AO51" s="137"/>
      <c r="AP51" s="137"/>
      <c r="AQ51" s="137"/>
      <c r="AR51" s="137"/>
      <c r="AS51" s="137"/>
      <c r="AT51" s="137"/>
      <c r="AU51" s="137"/>
      <c r="AV51" s="137"/>
      <c r="AW51" s="137"/>
      <c r="AX51" s="137"/>
      <c r="AY51" s="137"/>
      <c r="AZ51" s="134"/>
      <c r="BA51" s="134"/>
      <c r="BB51" s="134"/>
      <c r="BC51" s="134"/>
      <c r="BD51" s="134"/>
      <c r="BE51" s="134"/>
      <c r="BF51" s="134"/>
      <c r="BG51" s="134"/>
      <c r="BH51" s="134"/>
      <c r="BI51" s="134"/>
      <c r="BJ51" s="134"/>
      <c r="BK51" s="134"/>
      <c r="BL51" s="134"/>
      <c r="BM51" s="134"/>
      <c r="BN51" s="134"/>
      <c r="BO51" s="134"/>
      <c r="BP51" s="134"/>
    </row>
    <row r="52" customHeight="1" spans="1:68">
      <c r="A52" s="44"/>
      <c r="B52" s="44"/>
      <c r="C52" s="44"/>
      <c r="D52" s="44"/>
      <c r="E52" s="44"/>
      <c r="F52" s="44"/>
      <c r="G52" s="44"/>
      <c r="H52" s="44"/>
      <c r="I52" s="44"/>
      <c r="J52" s="44"/>
      <c r="K52" s="44"/>
      <c r="L52" s="44"/>
      <c r="M52" s="44"/>
      <c r="N52" s="44"/>
      <c r="O52" s="44"/>
      <c r="P52" s="44"/>
      <c r="Q52" s="44"/>
      <c r="R52" s="101">
        <f>SUM(R32:R51)</f>
        <v>0</v>
      </c>
      <c r="S52" s="44"/>
      <c r="T52" s="44"/>
      <c r="U52" s="44"/>
      <c r="V52" s="44"/>
      <c r="W52" s="44"/>
      <c r="X52" s="44"/>
      <c r="Y52" s="44"/>
      <c r="Z52" s="44"/>
      <c r="AA52" s="44"/>
      <c r="AB52" s="44"/>
      <c r="AD52" s="137"/>
      <c r="AE52" s="137"/>
      <c r="AF52" s="137"/>
      <c r="AG52" s="137"/>
      <c r="AH52" s="137"/>
      <c r="AI52" s="137"/>
      <c r="AJ52" s="137"/>
      <c r="AK52" s="137"/>
      <c r="AL52" s="137"/>
      <c r="AM52" s="137"/>
      <c r="AN52" s="137"/>
      <c r="AO52" s="137"/>
      <c r="AP52" s="137"/>
      <c r="AQ52" s="137"/>
      <c r="AR52" s="137"/>
      <c r="AS52" s="137"/>
      <c r="AT52" s="137"/>
      <c r="AU52" s="137"/>
      <c r="AV52" s="137"/>
      <c r="AW52" s="137"/>
      <c r="AX52" s="137"/>
      <c r="AY52" s="137"/>
      <c r="AZ52" s="134"/>
      <c r="BA52" s="134"/>
      <c r="BB52" s="134"/>
      <c r="BC52" s="134"/>
      <c r="BD52" s="134"/>
      <c r="BE52" s="134"/>
      <c r="BF52" s="134"/>
      <c r="BG52" s="134"/>
      <c r="BH52" s="134"/>
      <c r="BI52" s="134"/>
      <c r="BJ52" s="134"/>
      <c r="BK52" s="134"/>
      <c r="BL52" s="134"/>
      <c r="BM52" s="134"/>
      <c r="BN52" s="134"/>
      <c r="BO52" s="134"/>
      <c r="BP52" s="134"/>
    </row>
    <row r="53" customHeight="1" spans="1:68">
      <c r="A53" s="44"/>
      <c r="B53" s="87" t="s">
        <v>124</v>
      </c>
      <c r="C53" s="87"/>
      <c r="D53" s="87"/>
      <c r="E53" s="87"/>
      <c r="F53" s="87"/>
      <c r="G53" s="87"/>
      <c r="H53" s="87"/>
      <c r="I53" s="87"/>
      <c r="J53" s="87"/>
      <c r="K53" s="87"/>
      <c r="L53" s="87"/>
      <c r="M53" s="87"/>
      <c r="N53" s="87"/>
      <c r="O53" s="87"/>
      <c r="P53" s="87"/>
      <c r="Q53" s="87"/>
      <c r="R53" s="87"/>
      <c r="S53" s="44"/>
      <c r="T53" s="87" t="s">
        <v>125</v>
      </c>
      <c r="U53" s="87"/>
      <c r="V53" s="87"/>
      <c r="W53" s="87"/>
      <c r="X53" s="87"/>
      <c r="Y53" s="87"/>
      <c r="Z53" s="87"/>
      <c r="AA53" s="87"/>
      <c r="AB53" s="44"/>
      <c r="AD53" s="137"/>
      <c r="AE53" s="137"/>
      <c r="AF53" s="137"/>
      <c r="AG53" s="137"/>
      <c r="AH53" s="137"/>
      <c r="AI53" s="137"/>
      <c r="AJ53" s="137"/>
      <c r="AK53" s="137"/>
      <c r="AL53" s="137"/>
      <c r="AM53" s="137"/>
      <c r="AN53" s="137"/>
      <c r="AO53" s="137"/>
      <c r="AP53" s="137"/>
      <c r="AQ53" s="137"/>
      <c r="AR53" s="137"/>
      <c r="AS53" s="137"/>
      <c r="AT53" s="137"/>
      <c r="AU53" s="137"/>
      <c r="AV53" s="137"/>
      <c r="AW53" s="137"/>
      <c r="AX53" s="137"/>
      <c r="AY53" s="137"/>
      <c r="AZ53" s="134"/>
      <c r="BA53" s="134"/>
      <c r="BB53" s="134"/>
      <c r="BC53" s="134"/>
      <c r="BD53" s="134"/>
      <c r="BE53" s="134"/>
      <c r="BF53" s="134"/>
      <c r="BG53" s="134"/>
      <c r="BH53" s="134"/>
      <c r="BI53" s="134"/>
      <c r="BJ53" s="134"/>
      <c r="BK53" s="134"/>
      <c r="BL53" s="134"/>
      <c r="BM53" s="134"/>
      <c r="BN53" s="134"/>
      <c r="BO53" s="134"/>
      <c r="BP53" s="134"/>
    </row>
    <row r="54" customHeight="1" spans="1:68">
      <c r="A54" s="44"/>
      <c r="B54" s="118" t="s">
        <v>126</v>
      </c>
      <c r="C54" s="118"/>
      <c r="D54" s="138" t="s">
        <v>31</v>
      </c>
      <c r="E54" s="128"/>
      <c r="F54" s="138" t="s">
        <v>34</v>
      </c>
      <c r="G54" s="128"/>
      <c r="H54" s="138" t="s">
        <v>33</v>
      </c>
      <c r="I54" s="88"/>
      <c r="J54" s="139" t="s">
        <v>37</v>
      </c>
      <c r="K54" s="128"/>
      <c r="L54" s="138" t="s">
        <v>33</v>
      </c>
      <c r="M54" s="128"/>
      <c r="N54" s="138" t="s">
        <v>127</v>
      </c>
      <c r="O54" s="138"/>
      <c r="P54" s="128">
        <f>E54+G54-K54</f>
        <v>0</v>
      </c>
      <c r="Q54" s="118" t="s">
        <v>16</v>
      </c>
      <c r="R54" s="138"/>
      <c r="S54" s="44"/>
      <c r="T54" s="140" t="s">
        <v>128</v>
      </c>
      <c r="U54" s="140"/>
      <c r="V54" s="141"/>
      <c r="W54" s="142"/>
      <c r="X54" s="142"/>
      <c r="Y54" s="140" t="s">
        <v>129</v>
      </c>
      <c r="Z54" s="140"/>
      <c r="AA54" s="143"/>
      <c r="AB54" s="44"/>
      <c r="AD54" s="137"/>
      <c r="AE54" s="137"/>
      <c r="AF54" s="137"/>
      <c r="AG54" s="137"/>
      <c r="AH54" s="137"/>
      <c r="AI54" s="137"/>
      <c r="AJ54" s="137"/>
      <c r="AK54" s="137"/>
      <c r="AL54" s="137"/>
      <c r="AM54" s="137"/>
      <c r="AN54" s="137"/>
      <c r="AO54" s="137"/>
      <c r="AP54" s="137"/>
      <c r="AQ54" s="137"/>
      <c r="AR54" s="137"/>
      <c r="AS54" s="137"/>
      <c r="AT54" s="137"/>
      <c r="AU54" s="137"/>
      <c r="AV54" s="137"/>
      <c r="AW54" s="137"/>
      <c r="AX54" s="137"/>
      <c r="AY54" s="137"/>
      <c r="AZ54" s="134"/>
      <c r="BA54" s="134"/>
      <c r="BB54" s="134"/>
      <c r="BC54" s="134"/>
      <c r="BD54" s="134"/>
      <c r="BE54" s="134"/>
      <c r="BF54" s="134"/>
      <c r="BG54" s="134"/>
      <c r="BH54" s="134"/>
      <c r="BI54" s="134"/>
      <c r="BJ54" s="134"/>
      <c r="BK54" s="134"/>
      <c r="BL54" s="134"/>
      <c r="BM54" s="134"/>
      <c r="BN54" s="134"/>
      <c r="BO54" s="134"/>
      <c r="BP54" s="134"/>
    </row>
    <row r="55" customHeight="1" spans="1:68">
      <c r="A55" s="44"/>
      <c r="B55" s="118" t="s">
        <v>130</v>
      </c>
      <c r="C55" s="118"/>
      <c r="D55" s="131" t="s">
        <v>131</v>
      </c>
      <c r="E55" s="88"/>
      <c r="F55" s="131" t="s">
        <v>132</v>
      </c>
      <c r="G55" s="88"/>
      <c r="H55" s="131" t="s">
        <v>133</v>
      </c>
      <c r="I55" s="88"/>
      <c r="J55" s="131" t="s">
        <v>134</v>
      </c>
      <c r="K55" s="88"/>
      <c r="L55" s="131" t="s">
        <v>135</v>
      </c>
      <c r="M55" s="88"/>
      <c r="N55" s="131" t="s">
        <v>136</v>
      </c>
      <c r="O55" s="88"/>
      <c r="P55" s="97" t="s">
        <v>137</v>
      </c>
      <c r="Q55" s="97"/>
      <c r="R55" s="88">
        <v>0</v>
      </c>
      <c r="S55" s="44"/>
      <c r="T55" s="140" t="s">
        <v>138</v>
      </c>
      <c r="U55" s="140"/>
      <c r="V55" s="141"/>
      <c r="W55" s="142"/>
      <c r="X55" s="142"/>
      <c r="Y55" s="140" t="s">
        <v>139</v>
      </c>
      <c r="Z55" s="140"/>
      <c r="AA55" s="143"/>
      <c r="AB55" s="44"/>
      <c r="AD55" s="137"/>
      <c r="AE55" s="137"/>
      <c r="AF55" s="137"/>
      <c r="AG55" s="137"/>
      <c r="AH55" s="137"/>
      <c r="AI55" s="137"/>
      <c r="AJ55" s="137"/>
      <c r="AK55" s="137"/>
      <c r="AL55" s="137"/>
      <c r="AM55" s="137"/>
      <c r="AN55" s="137"/>
      <c r="AO55" s="137"/>
      <c r="AP55" s="137"/>
      <c r="AQ55" s="137"/>
      <c r="AR55" s="137"/>
      <c r="AS55" s="137"/>
      <c r="AT55" s="137"/>
      <c r="AU55" s="137"/>
      <c r="AV55" s="137"/>
      <c r="AW55" s="137"/>
      <c r="AX55" s="137"/>
      <c r="AY55" s="137"/>
      <c r="AZ55" s="134"/>
      <c r="BA55" s="134"/>
      <c r="BB55" s="134"/>
      <c r="BC55" s="134"/>
      <c r="BD55" s="134"/>
      <c r="BE55" s="134"/>
      <c r="BF55" s="134"/>
      <c r="BG55" s="134"/>
      <c r="BH55" s="134"/>
      <c r="BI55" s="134"/>
      <c r="BJ55" s="134"/>
      <c r="BK55" s="134"/>
      <c r="BL55" s="134"/>
      <c r="BM55" s="134"/>
      <c r="BN55" s="134"/>
      <c r="BO55" s="134"/>
      <c r="BP55" s="134"/>
    </row>
    <row r="56" customHeight="1" spans="1:68">
      <c r="A56" s="44"/>
      <c r="B56" s="97" t="s">
        <v>140</v>
      </c>
      <c r="C56" s="97"/>
      <c r="D56" s="131"/>
      <c r="E56" s="88"/>
      <c r="F56" s="131"/>
      <c r="G56" s="88"/>
      <c r="H56" s="131"/>
      <c r="I56" s="88"/>
      <c r="J56" s="131"/>
      <c r="K56" s="88"/>
      <c r="L56" s="131"/>
      <c r="M56" s="88"/>
      <c r="N56" s="131"/>
      <c r="O56" s="88"/>
      <c r="P56" s="97" t="s">
        <v>141</v>
      </c>
      <c r="Q56" s="97"/>
      <c r="R56" s="88" t="s">
        <v>142</v>
      </c>
      <c r="S56" s="44"/>
      <c r="T56" s="140" t="s">
        <v>143</v>
      </c>
      <c r="U56" s="140"/>
      <c r="V56" s="141"/>
      <c r="W56" s="142"/>
      <c r="X56" s="142"/>
      <c r="Y56" s="140" t="s">
        <v>144</v>
      </c>
      <c r="Z56" s="140"/>
      <c r="AA56" s="143"/>
      <c r="AB56" s="44"/>
      <c r="AD56" s="137"/>
      <c r="AE56" s="137"/>
      <c r="AF56" s="137"/>
      <c r="AG56" s="137"/>
      <c r="AH56" s="137"/>
      <c r="AI56" s="137"/>
      <c r="AJ56" s="137"/>
      <c r="AK56" s="137"/>
      <c r="AL56" s="137"/>
      <c r="AM56" s="137"/>
      <c r="AN56" s="137"/>
      <c r="AO56" s="137"/>
      <c r="AP56" s="137"/>
      <c r="AQ56" s="137"/>
      <c r="AR56" s="137"/>
      <c r="AS56" s="137"/>
      <c r="AT56" s="137"/>
      <c r="AU56" s="137"/>
      <c r="AV56" s="137"/>
      <c r="AW56" s="137"/>
      <c r="AX56" s="137"/>
      <c r="AY56" s="137"/>
      <c r="AZ56" s="134"/>
      <c r="BA56" s="134"/>
      <c r="BB56" s="134"/>
      <c r="BC56" s="134"/>
      <c r="BD56" s="134"/>
      <c r="BE56" s="134"/>
      <c r="BF56" s="134"/>
      <c r="BG56" s="134"/>
      <c r="BH56" s="134"/>
      <c r="BI56" s="134"/>
      <c r="BJ56" s="134"/>
      <c r="BK56" s="134"/>
      <c r="BL56" s="134"/>
      <c r="BM56" s="134"/>
      <c r="BN56" s="134"/>
      <c r="BO56" s="134"/>
      <c r="BP56" s="134"/>
    </row>
    <row r="57" customHeight="1" spans="1:68">
      <c r="A57" s="44"/>
      <c r="B57" s="97" t="s">
        <v>145</v>
      </c>
      <c r="C57" s="97"/>
      <c r="D57" s="131"/>
      <c r="E57" s="88"/>
      <c r="F57" s="131"/>
      <c r="G57" s="88"/>
      <c r="H57" s="131"/>
      <c r="I57" s="88"/>
      <c r="J57" s="131"/>
      <c r="K57" s="88"/>
      <c r="L57" s="131"/>
      <c r="M57" s="88"/>
      <c r="N57" s="131"/>
      <c r="O57" s="88"/>
      <c r="P57" s="87" t="s">
        <v>146</v>
      </c>
      <c r="Q57" s="87"/>
      <c r="R57" s="104">
        <f>L16</f>
        <v>0</v>
      </c>
      <c r="S57" s="44"/>
      <c r="T57" s="140" t="s">
        <v>76</v>
      </c>
      <c r="U57" s="140"/>
      <c r="V57" s="141"/>
      <c r="W57" s="142"/>
      <c r="X57" s="142"/>
      <c r="Y57" s="140" t="s">
        <v>76</v>
      </c>
      <c r="Z57" s="140"/>
      <c r="AA57" s="144"/>
      <c r="AB57" s="44"/>
      <c r="AD57" s="137"/>
      <c r="AE57" s="137"/>
      <c r="AF57" s="137"/>
      <c r="AG57" s="137"/>
      <c r="AH57" s="137"/>
      <c r="AI57" s="137"/>
      <c r="AJ57" s="137"/>
      <c r="AK57" s="137"/>
      <c r="AL57" s="137"/>
      <c r="AM57" s="137"/>
      <c r="AN57" s="137"/>
      <c r="AO57" s="137"/>
      <c r="AP57" s="137"/>
      <c r="AQ57" s="137"/>
      <c r="AR57" s="137"/>
      <c r="AS57" s="137"/>
      <c r="AT57" s="137"/>
      <c r="AU57" s="137"/>
      <c r="AV57" s="137"/>
      <c r="AW57" s="137"/>
      <c r="AX57" s="137"/>
      <c r="AY57" s="137"/>
      <c r="AZ57" s="134"/>
      <c r="BA57" s="134"/>
      <c r="BB57" s="134"/>
      <c r="BC57" s="134"/>
      <c r="BD57" s="134"/>
      <c r="BE57" s="134"/>
      <c r="BF57" s="134"/>
      <c r="BG57" s="134"/>
      <c r="BH57" s="134"/>
      <c r="BI57" s="134"/>
      <c r="BJ57" s="134"/>
      <c r="BK57" s="134"/>
      <c r="BL57" s="134"/>
      <c r="BM57" s="134"/>
      <c r="BN57" s="134"/>
      <c r="BO57" s="134"/>
      <c r="BP57" s="134"/>
    </row>
    <row r="58" customHeight="1" spans="1:68">
      <c r="A58" s="44"/>
      <c r="B58" s="44"/>
      <c r="C58" s="44"/>
      <c r="D58" s="44"/>
      <c r="E58" s="44"/>
      <c r="F58" s="44"/>
      <c r="G58" s="44"/>
      <c r="H58" s="44"/>
      <c r="I58" s="44"/>
      <c r="J58" s="44"/>
      <c r="K58" s="44"/>
      <c r="L58" s="44"/>
      <c r="M58" s="44"/>
      <c r="N58" s="44"/>
      <c r="O58" s="44"/>
      <c r="P58" s="44"/>
      <c r="Q58" s="44"/>
      <c r="R58" s="101"/>
      <c r="S58" s="44"/>
      <c r="T58" s="44"/>
      <c r="U58" s="44"/>
      <c r="V58" s="44"/>
      <c r="W58" s="44"/>
      <c r="X58" s="44"/>
      <c r="Y58" s="44"/>
      <c r="Z58" s="44"/>
      <c r="AA58" s="44"/>
      <c r="AB58" s="44"/>
      <c r="AD58" s="137"/>
      <c r="AE58" s="137"/>
      <c r="AF58" s="137"/>
      <c r="AG58" s="137"/>
      <c r="AH58" s="137"/>
      <c r="AI58" s="137"/>
      <c r="AJ58" s="137"/>
      <c r="AK58" s="137"/>
      <c r="AL58" s="137"/>
      <c r="AM58" s="137"/>
      <c r="AN58" s="137"/>
      <c r="AO58" s="137"/>
      <c r="AP58" s="137"/>
      <c r="AQ58" s="137"/>
      <c r="AR58" s="137"/>
      <c r="AS58" s="137"/>
      <c r="AT58" s="137"/>
      <c r="AU58" s="137"/>
      <c r="AV58" s="137"/>
      <c r="AW58" s="137"/>
      <c r="AX58" s="137"/>
      <c r="AY58" s="137"/>
      <c r="AZ58" s="134"/>
      <c r="BA58" s="134"/>
      <c r="BB58" s="134"/>
      <c r="BC58" s="134"/>
      <c r="BD58" s="134"/>
      <c r="BE58" s="134"/>
      <c r="BF58" s="134"/>
      <c r="BG58" s="134"/>
      <c r="BH58" s="134"/>
      <c r="BI58" s="134"/>
      <c r="BJ58" s="134"/>
      <c r="BK58" s="134"/>
      <c r="BL58" s="134"/>
      <c r="BM58" s="134"/>
      <c r="BN58" s="134"/>
      <c r="BO58" s="134"/>
      <c r="BP58" s="134"/>
    </row>
    <row r="59" customHeight="1" spans="1:68">
      <c r="A59" s="44"/>
      <c r="B59" s="87" t="s">
        <v>147</v>
      </c>
      <c r="C59" s="87"/>
      <c r="D59" s="87"/>
      <c r="E59" s="87"/>
      <c r="F59" s="87"/>
      <c r="G59" s="87"/>
      <c r="H59" s="87"/>
      <c r="I59" s="87"/>
      <c r="J59" s="87"/>
      <c r="K59" s="87"/>
      <c r="L59" s="87"/>
      <c r="M59" s="87"/>
      <c r="N59" s="87"/>
      <c r="O59" s="87"/>
      <c r="P59" s="87"/>
      <c r="Q59" s="87"/>
      <c r="R59" s="87"/>
      <c r="S59" s="44"/>
      <c r="T59" s="145" t="s">
        <v>148</v>
      </c>
      <c r="U59" s="145"/>
      <c r="V59" s="145"/>
      <c r="W59" s="145"/>
      <c r="X59" s="145"/>
      <c r="Y59" s="145"/>
      <c r="Z59" s="145"/>
      <c r="AA59" s="145"/>
      <c r="AB59" s="44"/>
      <c r="AD59" s="137"/>
      <c r="AE59" s="137"/>
      <c r="AF59" s="137"/>
      <c r="AG59" s="137"/>
      <c r="AH59" s="137"/>
      <c r="AI59" s="137"/>
      <c r="AJ59" s="137"/>
      <c r="AK59" s="137"/>
      <c r="AL59" s="137"/>
      <c r="AM59" s="137"/>
      <c r="AN59" s="137"/>
      <c r="AO59" s="137"/>
      <c r="AP59" s="137"/>
      <c r="AQ59" s="137"/>
      <c r="AR59" s="137"/>
      <c r="AS59" s="137"/>
      <c r="AT59" s="137"/>
      <c r="AU59" s="137"/>
      <c r="AV59" s="137"/>
      <c r="AW59" s="137"/>
      <c r="AX59" s="137"/>
      <c r="AY59" s="137"/>
      <c r="AZ59" s="134"/>
      <c r="BA59" s="134"/>
      <c r="BB59" s="134"/>
      <c r="BC59" s="134"/>
      <c r="BD59" s="134"/>
      <c r="BE59" s="134"/>
      <c r="BF59" s="134"/>
      <c r="BG59" s="134"/>
      <c r="BH59" s="134"/>
      <c r="BI59" s="134"/>
      <c r="BJ59" s="134"/>
      <c r="BK59" s="134"/>
      <c r="BL59" s="134"/>
      <c r="BM59" s="134"/>
      <c r="BN59" s="134"/>
      <c r="BO59" s="134"/>
      <c r="BP59" s="134"/>
    </row>
    <row r="60" customHeight="1" spans="1:68">
      <c r="A60" s="44"/>
      <c r="B60" s="118" t="s">
        <v>86</v>
      </c>
      <c r="C60" s="118"/>
      <c r="D60" s="118"/>
      <c r="E60" s="118" t="s">
        <v>149</v>
      </c>
      <c r="F60" s="118"/>
      <c r="G60" s="118" t="s">
        <v>150</v>
      </c>
      <c r="H60" s="118"/>
      <c r="I60" s="118" t="s">
        <v>151</v>
      </c>
      <c r="J60" s="118"/>
      <c r="K60" s="118"/>
      <c r="L60" s="118" t="s">
        <v>152</v>
      </c>
      <c r="M60" s="118"/>
      <c r="N60" s="118"/>
      <c r="O60" s="118" t="s">
        <v>153</v>
      </c>
      <c r="P60" s="118"/>
      <c r="Q60" s="118"/>
      <c r="R60" s="118"/>
      <c r="S60" s="44"/>
      <c r="T60" s="96" t="s">
        <v>154</v>
      </c>
      <c r="U60" s="96"/>
      <c r="V60" s="93"/>
      <c r="W60" s="93"/>
      <c r="X60" s="93"/>
      <c r="Y60" s="93"/>
      <c r="Z60" s="93"/>
      <c r="AA60" s="93"/>
      <c r="AB60" s="44"/>
      <c r="AD60" s="137"/>
      <c r="AE60" s="137"/>
      <c r="AF60" s="137"/>
      <c r="AG60" s="137"/>
      <c r="AH60" s="137"/>
      <c r="AI60" s="137"/>
      <c r="AJ60" s="137"/>
      <c r="AK60" s="137"/>
      <c r="AL60" s="137"/>
      <c r="AM60" s="137"/>
      <c r="AN60" s="137"/>
      <c r="AO60" s="137"/>
      <c r="AP60" s="137"/>
      <c r="AQ60" s="137"/>
      <c r="AR60" s="137"/>
      <c r="AS60" s="137"/>
      <c r="AT60" s="137"/>
      <c r="AU60" s="137"/>
      <c r="AV60" s="137"/>
      <c r="AW60" s="137"/>
      <c r="AX60" s="137"/>
      <c r="AY60" s="137"/>
      <c r="AZ60" s="134"/>
      <c r="BA60" s="134"/>
      <c r="BB60" s="134"/>
      <c r="BC60" s="134"/>
      <c r="BD60" s="134"/>
      <c r="BE60" s="134"/>
      <c r="BF60" s="134"/>
      <c r="BG60" s="134"/>
      <c r="BH60" s="134"/>
      <c r="BI60" s="134"/>
      <c r="BJ60" s="134"/>
      <c r="BK60" s="134"/>
      <c r="BL60" s="134"/>
      <c r="BM60" s="134"/>
      <c r="BN60" s="134"/>
      <c r="BO60" s="134"/>
      <c r="BP60" s="134"/>
    </row>
    <row r="61" customHeight="1" spans="1:68">
      <c r="A61" s="44"/>
      <c r="B61" s="146"/>
      <c r="C61" s="146"/>
      <c r="D61" s="146"/>
      <c r="E61" s="146"/>
      <c r="F61" s="146"/>
      <c r="G61" s="93"/>
      <c r="H61" s="93"/>
      <c r="I61" s="93"/>
      <c r="J61" s="93"/>
      <c r="K61" s="93"/>
      <c r="L61" s="146"/>
      <c r="M61" s="146"/>
      <c r="N61" s="146"/>
      <c r="O61" s="93"/>
      <c r="P61" s="93"/>
      <c r="Q61" s="93"/>
      <c r="R61" s="93"/>
      <c r="S61" s="44"/>
      <c r="T61" s="96" t="s">
        <v>155</v>
      </c>
      <c r="U61" s="96"/>
      <c r="V61" s="93"/>
      <c r="W61" s="93"/>
      <c r="X61" s="93"/>
      <c r="Y61" s="93"/>
      <c r="Z61" s="93"/>
      <c r="AA61" s="93"/>
      <c r="AB61" s="44"/>
      <c r="AD61" s="137"/>
      <c r="AE61" s="137"/>
      <c r="AF61" s="137"/>
      <c r="AG61" s="137"/>
      <c r="AH61" s="137"/>
      <c r="AI61" s="137"/>
      <c r="AJ61" s="137"/>
      <c r="AK61" s="137"/>
      <c r="AL61" s="137"/>
      <c r="AM61" s="137"/>
      <c r="AN61" s="137"/>
      <c r="AO61" s="137"/>
      <c r="AP61" s="137"/>
      <c r="AQ61" s="137"/>
      <c r="AR61" s="137"/>
      <c r="AS61" s="137"/>
      <c r="AT61" s="137"/>
      <c r="AU61" s="137"/>
      <c r="AV61" s="137"/>
      <c r="AW61" s="137"/>
      <c r="AX61" s="137"/>
      <c r="AY61" s="137"/>
      <c r="AZ61" s="134"/>
      <c r="BA61" s="134"/>
      <c r="BB61" s="134"/>
      <c r="BC61" s="134"/>
      <c r="BD61" s="134"/>
      <c r="BE61" s="134"/>
      <c r="BF61" s="134"/>
      <c r="BG61" s="134"/>
      <c r="BH61" s="134"/>
      <c r="BI61" s="134"/>
      <c r="BJ61" s="134"/>
      <c r="BK61" s="134"/>
      <c r="BL61" s="134"/>
      <c r="BM61" s="134"/>
      <c r="BN61" s="134"/>
      <c r="BO61" s="134"/>
      <c r="BP61" s="134"/>
    </row>
    <row r="62" customHeight="1" spans="1:68">
      <c r="A62" s="44"/>
      <c r="B62" s="146"/>
      <c r="C62" s="146"/>
      <c r="D62" s="146"/>
      <c r="E62" s="146"/>
      <c r="F62" s="146"/>
      <c r="G62" s="93"/>
      <c r="H62" s="93"/>
      <c r="I62" s="93"/>
      <c r="J62" s="93"/>
      <c r="K62" s="93"/>
      <c r="L62" s="146"/>
      <c r="M62" s="146"/>
      <c r="N62" s="146"/>
      <c r="O62" s="93"/>
      <c r="P62" s="93"/>
      <c r="Q62" s="93"/>
      <c r="R62" s="93"/>
      <c r="S62" s="44"/>
      <c r="T62" s="96" t="s">
        <v>156</v>
      </c>
      <c r="U62" s="96"/>
      <c r="V62" s="93"/>
      <c r="W62" s="93"/>
      <c r="X62" s="93"/>
      <c r="Y62" s="93"/>
      <c r="Z62" s="93"/>
      <c r="AA62" s="93"/>
      <c r="AB62" s="44"/>
      <c r="AD62" s="137"/>
      <c r="AE62" s="137"/>
      <c r="AF62" s="137"/>
      <c r="AG62" s="137"/>
      <c r="AH62" s="137"/>
      <c r="AI62" s="137"/>
      <c r="AJ62" s="137"/>
      <c r="AK62" s="137"/>
      <c r="AL62" s="137"/>
      <c r="AM62" s="137"/>
      <c r="AN62" s="137"/>
      <c r="AO62" s="137"/>
      <c r="AP62" s="137"/>
      <c r="AQ62" s="137"/>
      <c r="AR62" s="137"/>
      <c r="AS62" s="137"/>
      <c r="AT62" s="137"/>
      <c r="AU62" s="137"/>
      <c r="AV62" s="137"/>
      <c r="AW62" s="137"/>
      <c r="AX62" s="137"/>
      <c r="AY62" s="137"/>
      <c r="AZ62" s="134"/>
      <c r="BA62" s="134"/>
      <c r="BB62" s="134"/>
      <c r="BC62" s="134"/>
      <c r="BD62" s="134"/>
      <c r="BE62" s="134"/>
      <c r="BF62" s="134"/>
      <c r="BG62" s="134"/>
      <c r="BH62" s="134"/>
      <c r="BI62" s="134"/>
      <c r="BJ62" s="134"/>
      <c r="BK62" s="134"/>
      <c r="BL62" s="134"/>
      <c r="BM62" s="134"/>
      <c r="BN62" s="134"/>
      <c r="BO62" s="134"/>
      <c r="BP62" s="134"/>
    </row>
    <row r="63" customHeight="1" spans="1:68">
      <c r="A63" s="44"/>
      <c r="B63" s="146"/>
      <c r="C63" s="146"/>
      <c r="D63" s="146"/>
      <c r="E63" s="146"/>
      <c r="F63" s="146"/>
      <c r="G63" s="93"/>
      <c r="H63" s="93"/>
      <c r="I63" s="93"/>
      <c r="J63" s="93"/>
      <c r="K63" s="93"/>
      <c r="L63" s="146"/>
      <c r="M63" s="146"/>
      <c r="N63" s="146"/>
      <c r="O63" s="93"/>
      <c r="P63" s="93"/>
      <c r="Q63" s="93"/>
      <c r="R63" s="93"/>
      <c r="S63" s="44"/>
      <c r="T63" s="96" t="s">
        <v>157</v>
      </c>
      <c r="U63" s="96"/>
      <c r="V63" s="93"/>
      <c r="W63" s="93"/>
      <c r="X63" s="93"/>
      <c r="Y63" s="93"/>
      <c r="Z63" s="93"/>
      <c r="AA63" s="93"/>
      <c r="AB63" s="44"/>
      <c r="AD63" s="137"/>
      <c r="AE63" s="137"/>
      <c r="AF63" s="137"/>
      <c r="AG63" s="137"/>
      <c r="AH63" s="137"/>
      <c r="AI63" s="137"/>
      <c r="AJ63" s="137"/>
      <c r="AK63" s="137"/>
      <c r="AL63" s="137"/>
      <c r="AM63" s="137"/>
      <c r="AN63" s="137"/>
      <c r="AO63" s="137"/>
      <c r="AP63" s="137"/>
      <c r="AQ63" s="137"/>
      <c r="AR63" s="137"/>
      <c r="AS63" s="137"/>
      <c r="AT63" s="137"/>
      <c r="AU63" s="137"/>
      <c r="AV63" s="137"/>
      <c r="AW63" s="137"/>
      <c r="AX63" s="137"/>
      <c r="AY63" s="137"/>
      <c r="AZ63" s="134"/>
      <c r="BA63" s="134"/>
      <c r="BB63" s="134"/>
      <c r="BC63" s="134"/>
      <c r="BD63" s="134"/>
      <c r="BE63" s="134"/>
      <c r="BF63" s="134"/>
      <c r="BG63" s="134"/>
      <c r="BH63" s="134"/>
      <c r="BI63" s="134"/>
      <c r="BJ63" s="134"/>
      <c r="BK63" s="134"/>
      <c r="BL63" s="134"/>
      <c r="BM63" s="134"/>
      <c r="BN63" s="134"/>
      <c r="BO63" s="134"/>
      <c r="BP63" s="134"/>
    </row>
    <row r="64" customHeight="1" spans="1:68">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D64" s="137"/>
      <c r="AE64" s="137"/>
      <c r="AF64" s="137"/>
      <c r="AG64" s="137"/>
      <c r="AH64" s="137"/>
      <c r="AI64" s="137"/>
      <c r="AJ64" s="137"/>
      <c r="AK64" s="137"/>
      <c r="AL64" s="137"/>
      <c r="AM64" s="137"/>
      <c r="AN64" s="137"/>
      <c r="AO64" s="137"/>
      <c r="AP64" s="137"/>
      <c r="AQ64" s="137"/>
      <c r="AR64" s="137"/>
      <c r="AS64" s="137"/>
      <c r="AT64" s="137"/>
      <c r="AU64" s="137"/>
      <c r="AV64" s="137"/>
      <c r="AW64" s="137"/>
      <c r="AX64" s="137"/>
      <c r="AY64" s="137"/>
      <c r="AZ64" s="134"/>
      <c r="BA64" s="134"/>
      <c r="BB64" s="134"/>
      <c r="BC64" s="134"/>
      <c r="BD64" s="134"/>
      <c r="BE64" s="134"/>
      <c r="BF64" s="134"/>
      <c r="BG64" s="134"/>
      <c r="BH64" s="134"/>
      <c r="BI64" s="134"/>
      <c r="BJ64" s="134"/>
      <c r="BK64" s="134"/>
      <c r="BL64" s="134"/>
      <c r="BM64" s="134"/>
      <c r="BN64" s="134"/>
      <c r="BO64" s="134"/>
      <c r="BP64" s="134"/>
    </row>
    <row r="65" customHeight="1" spans="1:69">
      <c r="A65" s="44" t="str" cm="1">
        <f t="array" ref="A65">IFERROR(_xlfn.TEXTJOIN("",TRUE,_xlfn._xlws.FILTER(B67:B92&amp;ROUNDUP(K67:K92,0),B67:B92&lt;&gt;"")),"")</f>
        <v/>
      </c>
      <c r="B65" s="87" t="s">
        <v>158</v>
      </c>
      <c r="C65" s="87"/>
      <c r="D65" s="87"/>
      <c r="E65" s="87"/>
      <c r="F65" s="87"/>
      <c r="G65" s="87"/>
      <c r="H65" s="87"/>
      <c r="I65" s="87"/>
      <c r="J65" s="87"/>
      <c r="K65" s="87"/>
      <c r="L65" s="87"/>
      <c r="M65" s="87"/>
      <c r="N65" s="87"/>
      <c r="O65" s="87"/>
      <c r="P65" s="87"/>
      <c r="Q65" s="87"/>
      <c r="R65" s="87"/>
      <c r="S65" s="44"/>
      <c r="T65" s="87" t="s">
        <v>159</v>
      </c>
      <c r="U65" s="87"/>
      <c r="V65" s="87"/>
      <c r="W65" s="87"/>
      <c r="X65" s="87"/>
      <c r="Y65" s="87"/>
      <c r="Z65" s="87"/>
      <c r="AA65" s="87"/>
      <c r="AB65" s="44"/>
      <c r="AC65" s="134"/>
      <c r="AD65" s="137"/>
      <c r="AE65" s="137"/>
      <c r="AF65" s="137"/>
      <c r="AG65" s="137"/>
      <c r="AH65" s="137"/>
      <c r="AI65" s="137"/>
      <c r="AJ65" s="137"/>
      <c r="AK65" s="137"/>
      <c r="AL65" s="137"/>
      <c r="AM65" s="137"/>
      <c r="AN65" s="137"/>
      <c r="AO65" s="137"/>
      <c r="AP65" s="137"/>
      <c r="AQ65" s="137"/>
      <c r="AR65" s="137"/>
      <c r="AS65" s="137"/>
      <c r="AT65" s="137"/>
      <c r="AU65" s="137"/>
      <c r="AV65" s="137"/>
      <c r="AW65" s="137"/>
      <c r="AX65" s="137"/>
      <c r="AY65" s="137"/>
      <c r="AZ65" s="134"/>
      <c r="BA65" s="134"/>
      <c r="BB65" s="134"/>
      <c r="BC65" s="134"/>
      <c r="BD65" s="134"/>
      <c r="BE65" s="134"/>
      <c r="BF65" s="134"/>
      <c r="BG65" s="134"/>
      <c r="BH65" s="134"/>
      <c r="BI65" s="134"/>
      <c r="BJ65" s="134"/>
      <c r="BK65" s="134"/>
      <c r="BL65" s="134"/>
      <c r="BM65" s="134"/>
      <c r="BN65" s="134"/>
      <c r="BO65" s="134"/>
      <c r="BP65" s="134"/>
    </row>
    <row r="66" customHeight="1" spans="1:69">
      <c r="A66" s="44"/>
      <c r="B66" s="147" t="s">
        <v>86</v>
      </c>
      <c r="C66" s="147"/>
      <c r="D66" s="147"/>
      <c r="E66" s="147"/>
      <c r="F66" s="125" t="s">
        <v>81</v>
      </c>
      <c r="G66" s="125" t="s">
        <v>87</v>
      </c>
      <c r="H66" s="125" t="s">
        <v>88</v>
      </c>
      <c r="I66" s="125" t="s">
        <v>89</v>
      </c>
      <c r="J66" s="125" t="s">
        <v>83</v>
      </c>
      <c r="K66" s="126" t="s">
        <v>90</v>
      </c>
      <c r="L66" s="125" t="s">
        <v>91</v>
      </c>
      <c r="M66" s="125"/>
      <c r="N66" s="125"/>
      <c r="O66" s="125"/>
      <c r="P66" s="125"/>
      <c r="Q66" s="125"/>
      <c r="R66" s="125" t="s">
        <v>92</v>
      </c>
      <c r="S66" s="44"/>
      <c r="T66" s="148" t="s">
        <v>160</v>
      </c>
      <c r="U66" s="149"/>
      <c r="V66" s="149"/>
      <c r="W66" s="149"/>
      <c r="X66" s="149"/>
      <c r="Y66" s="149"/>
      <c r="Z66" s="149"/>
      <c r="AA66" s="150"/>
      <c r="AB66" s="44"/>
      <c r="AC66" s="134"/>
      <c r="AD66" s="137"/>
      <c r="AE66" s="137"/>
      <c r="AF66" s="137"/>
      <c r="AG66" s="137"/>
      <c r="AH66" s="137"/>
      <c r="AI66" s="137"/>
      <c r="AJ66" s="137"/>
      <c r="AK66" s="137"/>
      <c r="AL66" s="137"/>
      <c r="AM66" s="137"/>
      <c r="AN66" s="137"/>
      <c r="AO66" s="137"/>
      <c r="AP66" s="137"/>
      <c r="AQ66" s="137"/>
      <c r="AR66" s="137"/>
      <c r="AS66" s="137"/>
      <c r="AT66" s="137"/>
      <c r="AU66" s="137"/>
      <c r="AV66" s="137"/>
      <c r="AW66" s="137"/>
      <c r="AX66" s="137"/>
      <c r="AY66" s="137"/>
      <c r="AZ66" s="134"/>
      <c r="BA66" s="134"/>
      <c r="BB66" s="134"/>
      <c r="BC66" s="134"/>
      <c r="BD66" s="134"/>
      <c r="BE66" s="134"/>
      <c r="BF66" s="134"/>
      <c r="BG66" s="134"/>
      <c r="BH66" s="134"/>
      <c r="BI66" s="134"/>
      <c r="BJ66" s="134"/>
      <c r="BK66" s="134"/>
      <c r="BL66" s="134"/>
      <c r="BM66" s="134"/>
      <c r="BN66" s="134"/>
      <c r="BO66" s="134"/>
      <c r="BP66" s="134"/>
    </row>
    <row r="67" customHeight="1" spans="1:69">
      <c r="A67" s="44"/>
      <c r="B67" s="79"/>
      <c r="C67" s="79"/>
      <c r="D67" s="79"/>
      <c r="E67" s="79"/>
      <c r="F67" s="138" t="s">
        <v>161</v>
      </c>
      <c r="G67" s="128"/>
      <c r="H67" s="128"/>
      <c r="I67" s="128"/>
      <c r="J67" s="128"/>
      <c r="K67" s="151">
        <f t="array" ref="K67">IF(F67="S",IF(G67&lt;&gt;"",$K$15,$K$15/2),)+IF(F67="T",IF(G67&lt;&gt;"",$K$16,$K$16/2),)+IF(F67="Ag",IF(G67&lt;&gt;"",$K$17,$K$17/2),)+IF(F67="Int",IF(G67&lt;&gt;"",$K$18,_xlfn.ANCHORARRAY($K$18)/2),)+IF(F67="Per",IF(G67&lt;&gt;"",$K$19,$K$19/2),)+IF(F67="WP",IF(G67&lt;&gt;"",$K$20,_xlfn.ANCHORARRAY($K$20)/2),)+IF(F67="Fel",IF(G67&lt;&gt;"",$K$21,$K$21/2),)+IF(H67&lt;&gt;"",10,0)+IF(I67&lt;&gt;"",10,0)+IF(J67&lt;&gt;"",10,0)</f>
        <v>0</v>
      </c>
      <c r="L67" s="128"/>
      <c r="M67" s="128"/>
      <c r="N67" s="128"/>
      <c r="O67" s="128"/>
      <c r="P67" s="128"/>
      <c r="Q67" s="128"/>
      <c r="R67" s="128">
        <f t="shared" ref="R67:R92" si="3">G67+H67+I67+J67</f>
        <v>0</v>
      </c>
      <c r="S67" s="44"/>
      <c r="T67" s="152"/>
      <c r="U67" s="153"/>
      <c r="V67" s="153"/>
      <c r="W67" s="153"/>
      <c r="X67" s="153"/>
      <c r="Y67" s="153"/>
      <c r="Z67" s="153"/>
      <c r="AA67" s="154"/>
      <c r="AB67" s="44"/>
      <c r="AC67" s="134"/>
      <c r="AD67" s="137"/>
      <c r="AE67" s="137"/>
      <c r="AF67" s="137"/>
      <c r="AG67" s="137"/>
      <c r="AH67" s="137"/>
      <c r="AI67" s="137"/>
      <c r="AJ67" s="137"/>
      <c r="AK67" s="137"/>
      <c r="AL67" s="137"/>
      <c r="AM67" s="137"/>
      <c r="AN67" s="137"/>
      <c r="AO67" s="137"/>
      <c r="AP67" s="137"/>
      <c r="AQ67" s="137"/>
      <c r="AR67" s="137"/>
      <c r="AS67" s="137"/>
      <c r="AT67" s="137"/>
      <c r="AU67" s="137"/>
      <c r="AV67" s="137"/>
      <c r="AW67" s="137"/>
      <c r="AX67" s="137"/>
      <c r="AY67" s="137"/>
      <c r="AZ67" s="134"/>
      <c r="BA67" s="134"/>
      <c r="BB67" s="134"/>
      <c r="BC67" s="134"/>
      <c r="BD67" s="134"/>
      <c r="BE67" s="134"/>
      <c r="BF67" s="134"/>
      <c r="BG67" s="134"/>
      <c r="BH67" s="134"/>
      <c r="BI67" s="134"/>
      <c r="BJ67" s="134"/>
      <c r="BK67" s="134"/>
      <c r="BL67" s="134"/>
      <c r="BM67" s="134"/>
      <c r="BN67" s="134"/>
      <c r="BO67" s="134"/>
      <c r="BP67" s="134"/>
    </row>
    <row r="68" customHeight="1" spans="1:69">
      <c r="A68" s="44"/>
      <c r="B68" s="79"/>
      <c r="C68" s="79"/>
      <c r="D68" s="79"/>
      <c r="E68" s="79"/>
      <c r="F68" s="138" t="s">
        <v>161</v>
      </c>
      <c r="G68" s="128"/>
      <c r="H68" s="128"/>
      <c r="I68" s="128"/>
      <c r="J68" s="128"/>
      <c r="K68" s="151">
        <f t="array" ref="K68">IF(F68="S",IF(G68&lt;&gt;"",$K$15,$K$15/2),)+IF(F68="T",IF(G68&lt;&gt;"",$K$16,$K$16/2),)+IF(F68="Ag",IF(G68&lt;&gt;"",$K$17,$K$17/2),)+IF(F68="Int",IF(G68&lt;&gt;"",$K$18,_xlfn.ANCHORARRAY($K$18)/2),)+IF(F68="Per",IF(G68&lt;&gt;"",$K$19,$K$19/2),)+IF(F68="WP",IF(G68&lt;&gt;"",$K$20,_xlfn.ANCHORARRAY($K$20)/2),)+IF(F68="Fel",IF(G68&lt;&gt;"",$K$21,$K$21/2),)+IF(H68&lt;&gt;"",10,0)+IF(I68&lt;&gt;"",10,0)+IF(J68&lt;&gt;"",10,0)</f>
        <v>0</v>
      </c>
      <c r="L68" s="128"/>
      <c r="M68" s="128"/>
      <c r="N68" s="128"/>
      <c r="O68" s="128"/>
      <c r="P68" s="128"/>
      <c r="Q68" s="128"/>
      <c r="R68" s="128">
        <f t="shared" si="3"/>
        <v>0</v>
      </c>
      <c r="S68" s="44"/>
      <c r="T68" s="155"/>
      <c r="U68" s="156"/>
      <c r="V68" s="156"/>
      <c r="W68" s="156"/>
      <c r="X68" s="156"/>
      <c r="Y68" s="156"/>
      <c r="Z68" s="156"/>
      <c r="AA68" s="157"/>
      <c r="AB68" s="44"/>
      <c r="AC68" s="134"/>
      <c r="AD68" s="137"/>
      <c r="AE68" s="137"/>
      <c r="AF68" s="137"/>
      <c r="AG68" s="137"/>
      <c r="AH68" s="137"/>
      <c r="AI68" s="137"/>
      <c r="AJ68" s="137"/>
      <c r="AK68" s="137"/>
      <c r="AL68" s="137"/>
      <c r="AM68" s="137"/>
      <c r="AN68" s="137"/>
      <c r="AO68" s="137"/>
      <c r="AP68" s="137"/>
      <c r="AQ68" s="137"/>
      <c r="AR68" s="137"/>
      <c r="AS68" s="137"/>
      <c r="AT68" s="137"/>
      <c r="AU68" s="137"/>
      <c r="AV68" s="137"/>
      <c r="AW68" s="137"/>
      <c r="AX68" s="137"/>
      <c r="AY68" s="137"/>
      <c r="AZ68" s="134"/>
      <c r="BA68" s="134"/>
      <c r="BB68" s="134"/>
      <c r="BC68" s="134"/>
      <c r="BD68" s="134"/>
      <c r="BE68" s="134"/>
      <c r="BF68" s="134"/>
      <c r="BG68" s="134"/>
      <c r="BH68" s="134"/>
      <c r="BI68" s="134"/>
      <c r="BJ68" s="134"/>
      <c r="BK68" s="134"/>
      <c r="BL68" s="134"/>
      <c r="BM68" s="134"/>
      <c r="BN68" s="134"/>
      <c r="BO68" s="134"/>
      <c r="BP68" s="134"/>
    </row>
    <row r="69" customHeight="1" spans="1:69">
      <c r="A69" s="44"/>
      <c r="B69" s="79"/>
      <c r="C69" s="79"/>
      <c r="D69" s="79"/>
      <c r="E69" s="79"/>
      <c r="F69" s="138" t="s">
        <v>161</v>
      </c>
      <c r="G69" s="128"/>
      <c r="H69" s="128"/>
      <c r="I69" s="128"/>
      <c r="J69" s="128"/>
      <c r="K69" s="151">
        <f t="array" ref="K69">IF(F69="S",IF(G69&lt;&gt;"",$K$15,$K$15/2),)+IF(F69="T",IF(G69&lt;&gt;"",$K$16,$K$16/2),)+IF(F69="Ag",IF(G69&lt;&gt;"",$K$17,$K$17/2),)+IF(F69="Int",IF(G69&lt;&gt;"",$K$18,_xlfn.ANCHORARRAY($K$18)/2),)+IF(F69="Per",IF(G69&lt;&gt;"",$K$19,$K$19/2),)+IF(F69="WP",IF(G69&lt;&gt;"",$K$20,_xlfn.ANCHORARRAY($K$20)/2),)+IF(F69="Fel",IF(G69&lt;&gt;"",$K$21,$K$21/2),)+IF(H69&lt;&gt;"",10,0)+IF(I69&lt;&gt;"",10,0)+IF(J69&lt;&gt;"",10,0)</f>
        <v>0</v>
      </c>
      <c r="L69" s="128"/>
      <c r="M69" s="128"/>
      <c r="N69" s="128"/>
      <c r="O69" s="128"/>
      <c r="P69" s="128"/>
      <c r="Q69" s="128"/>
      <c r="R69" s="128">
        <f t="shared" si="3"/>
        <v>0</v>
      </c>
      <c r="S69" s="44"/>
      <c r="T69" s="148" t="s">
        <v>162</v>
      </c>
      <c r="U69" s="149"/>
      <c r="V69" s="149"/>
      <c r="W69" s="149"/>
      <c r="X69" s="149"/>
      <c r="Y69" s="149"/>
      <c r="Z69" s="149"/>
      <c r="AA69" s="150"/>
      <c r="AB69" s="44"/>
      <c r="AC69" s="134"/>
      <c r="AD69" s="137"/>
      <c r="AE69" s="137"/>
      <c r="AF69" s="137"/>
      <c r="AG69" s="137"/>
      <c r="AH69" s="137"/>
      <c r="AI69" s="137"/>
      <c r="AJ69" s="137"/>
      <c r="AK69" s="137"/>
      <c r="AL69" s="137"/>
      <c r="AM69" s="137"/>
      <c r="AN69" s="137"/>
      <c r="AO69" s="137"/>
      <c r="AP69" s="137"/>
      <c r="AQ69" s="137"/>
      <c r="AR69" s="137"/>
      <c r="AS69" s="137"/>
      <c r="AT69" s="137"/>
      <c r="AU69" s="137"/>
      <c r="AV69" s="137"/>
      <c r="AW69" s="137"/>
      <c r="AX69" s="137"/>
      <c r="AY69" s="137"/>
      <c r="AZ69" s="134"/>
      <c r="BA69" s="134"/>
      <c r="BB69" s="134"/>
      <c r="BC69" s="134"/>
      <c r="BD69" s="134"/>
      <c r="BE69" s="134"/>
      <c r="BF69" s="134"/>
      <c r="BG69" s="134"/>
      <c r="BH69" s="134"/>
      <c r="BI69" s="134"/>
      <c r="BJ69" s="134"/>
      <c r="BK69" s="134"/>
      <c r="BL69" s="134"/>
      <c r="BM69" s="134"/>
      <c r="BN69" s="134"/>
      <c r="BO69" s="134"/>
      <c r="BP69" s="134"/>
    </row>
    <row r="70" customHeight="1" spans="1:69">
      <c r="A70" s="44"/>
      <c r="B70" s="79"/>
      <c r="C70" s="79"/>
      <c r="D70" s="79"/>
      <c r="E70" s="79"/>
      <c r="F70" s="138" t="s">
        <v>161</v>
      </c>
      <c r="G70" s="128"/>
      <c r="H70" s="128"/>
      <c r="I70" s="128"/>
      <c r="J70" s="128"/>
      <c r="K70" s="151">
        <f t="array" ref="K70">IF(F70="S",IF(G70&lt;&gt;"",$K$15,$K$15/2),)+IF(F70="T",IF(G70&lt;&gt;"",$K$16,$K$16/2),)+IF(F70="Ag",IF(G70&lt;&gt;"",$K$17,$K$17/2),)+IF(F70="Int",IF(G70&lt;&gt;"",$K$18,_xlfn.ANCHORARRAY($K$18)/2),)+IF(F70="Per",IF(G70&lt;&gt;"",$K$19,$K$19/2),)+IF(F70="WP",IF(G70&lt;&gt;"",$K$20,_xlfn.ANCHORARRAY($K$20)/2),)+IF(F70="Fel",IF(G70&lt;&gt;"",$K$21,$K$21/2),)+IF(H70&lt;&gt;"",10,0)+IF(I70&lt;&gt;"",10,0)+IF(J70&lt;&gt;"",10,0)</f>
        <v>0</v>
      </c>
      <c r="L70" s="128"/>
      <c r="M70" s="128"/>
      <c r="N70" s="128"/>
      <c r="O70" s="128"/>
      <c r="P70" s="128"/>
      <c r="Q70" s="128"/>
      <c r="R70" s="128">
        <f t="shared" si="3"/>
        <v>0</v>
      </c>
      <c r="S70" s="44"/>
      <c r="T70" s="152"/>
      <c r="U70" s="153"/>
      <c r="V70" s="153"/>
      <c r="W70" s="153"/>
      <c r="X70" s="153"/>
      <c r="Y70" s="153"/>
      <c r="Z70" s="153"/>
      <c r="AA70" s="154"/>
      <c r="AB70" s="44"/>
      <c r="AC70" s="134"/>
      <c r="AD70" s="137"/>
      <c r="AE70" s="137"/>
      <c r="AF70" s="137"/>
      <c r="AG70" s="137"/>
      <c r="AH70" s="137"/>
      <c r="AI70" s="137"/>
      <c r="AJ70" s="137"/>
      <c r="AK70" s="137"/>
      <c r="AL70" s="137"/>
      <c r="AM70" s="137"/>
      <c r="AN70" s="137"/>
      <c r="AO70" s="137"/>
      <c r="AP70" s="137"/>
      <c r="AQ70" s="137"/>
      <c r="AR70" s="137"/>
      <c r="AS70" s="137"/>
      <c r="AT70" s="137"/>
      <c r="AU70" s="137"/>
      <c r="AV70" s="137"/>
      <c r="AW70" s="137"/>
      <c r="AX70" s="137"/>
      <c r="AY70" s="137"/>
      <c r="AZ70" s="134"/>
      <c r="BA70" s="134"/>
      <c r="BB70" s="134"/>
      <c r="BC70" s="134"/>
      <c r="BD70" s="134"/>
      <c r="BE70" s="134"/>
      <c r="BF70" s="134"/>
      <c r="BG70" s="134"/>
      <c r="BH70" s="134"/>
      <c r="BI70" s="134"/>
      <c r="BJ70" s="134"/>
      <c r="BK70" s="134"/>
      <c r="BL70" s="134"/>
      <c r="BM70" s="134"/>
      <c r="BN70" s="134"/>
      <c r="BO70" s="134"/>
      <c r="BP70" s="134"/>
    </row>
    <row r="71" customHeight="1" spans="1:69">
      <c r="A71" s="44"/>
      <c r="B71" s="79"/>
      <c r="C71" s="79"/>
      <c r="D71" s="79"/>
      <c r="E71" s="79"/>
      <c r="F71" s="138" t="s">
        <v>161</v>
      </c>
      <c r="G71" s="128"/>
      <c r="H71" s="128"/>
      <c r="I71" s="128"/>
      <c r="J71" s="128"/>
      <c r="K71" s="151">
        <f t="array" ref="K71">IF(F71="S",IF(G71&lt;&gt;"",$K$15,$K$15/2),)+IF(F71="T",IF(G71&lt;&gt;"",$K$16,$K$16/2),)+IF(F71="Ag",IF(G71&lt;&gt;"",$K$17,$K$17/2),)+IF(F71="Int",IF(G71&lt;&gt;"",$K$18,_xlfn.ANCHORARRAY($K$18)/2),)+IF(F71="Per",IF(G71&lt;&gt;"",$K$19,$K$19/2),)+IF(F71="WP",IF(G71&lt;&gt;"",$K$20,_xlfn.ANCHORARRAY($K$20)/2),)+IF(F71="Fel",IF(G71&lt;&gt;"",$K$21,$K$21/2),)+IF(H71&lt;&gt;"",10,0)+IF(I71&lt;&gt;"",10,0)+IF(J71&lt;&gt;"",10,0)</f>
        <v>0</v>
      </c>
      <c r="L71" s="128"/>
      <c r="M71" s="128"/>
      <c r="N71" s="128"/>
      <c r="O71" s="128"/>
      <c r="P71" s="128"/>
      <c r="Q71" s="128"/>
      <c r="R71" s="128">
        <f t="shared" si="3"/>
        <v>0</v>
      </c>
      <c r="S71" s="44"/>
      <c r="T71" s="155"/>
      <c r="U71" s="156"/>
      <c r="V71" s="156"/>
      <c r="W71" s="156"/>
      <c r="X71" s="156"/>
      <c r="Y71" s="156"/>
      <c r="Z71" s="156"/>
      <c r="AA71" s="157"/>
      <c r="AB71" s="44"/>
      <c r="AC71" s="134"/>
      <c r="AD71" s="137"/>
      <c r="AE71" s="137"/>
      <c r="AF71" s="137"/>
      <c r="AG71" s="137"/>
      <c r="AH71" s="137"/>
      <c r="AI71" s="137"/>
      <c r="AJ71" s="137"/>
      <c r="AK71" s="137"/>
      <c r="AL71" s="137"/>
      <c r="AM71" s="137"/>
      <c r="AN71" s="137"/>
      <c r="AO71" s="137"/>
      <c r="AP71" s="137"/>
      <c r="AQ71" s="137"/>
      <c r="AR71" s="137"/>
      <c r="AS71" s="137"/>
      <c r="AT71" s="137"/>
      <c r="AU71" s="137"/>
      <c r="AV71" s="137"/>
      <c r="AW71" s="137"/>
      <c r="AX71" s="137"/>
      <c r="AY71" s="137"/>
      <c r="AZ71" s="134"/>
      <c r="BA71" s="134"/>
      <c r="BB71" s="134"/>
      <c r="BC71" s="134"/>
      <c r="BD71" s="134"/>
      <c r="BE71" s="134"/>
      <c r="BF71" s="134"/>
      <c r="BG71" s="134"/>
      <c r="BH71" s="134"/>
      <c r="BI71" s="134"/>
      <c r="BJ71" s="134"/>
      <c r="BK71" s="134"/>
      <c r="BL71" s="134"/>
      <c r="BM71" s="134"/>
      <c r="BN71" s="134"/>
      <c r="BO71" s="134"/>
      <c r="BP71" s="134"/>
    </row>
    <row r="72" customHeight="1" spans="1:69">
      <c r="A72" s="44"/>
      <c r="B72" s="79"/>
      <c r="C72" s="79"/>
      <c r="D72" s="79"/>
      <c r="E72" s="79"/>
      <c r="F72" s="138" t="s">
        <v>161</v>
      </c>
      <c r="G72" s="128"/>
      <c r="H72" s="128"/>
      <c r="I72" s="128"/>
      <c r="J72" s="128"/>
      <c r="K72" s="151">
        <f t="array" ref="K72">IF(F72="S",IF(G72&lt;&gt;"",$K$15,$K$15/2),)+IF(F72="T",IF(G72&lt;&gt;"",$K$16,$K$16/2),)+IF(F72="Ag",IF(G72&lt;&gt;"",$K$17,$K$17/2),)+IF(F72="Int",IF(G72&lt;&gt;"",$K$18,_xlfn.ANCHORARRAY($K$18)/2),)+IF(F72="Per",IF(G72&lt;&gt;"",$K$19,$K$19/2),)+IF(F72="WP",IF(G72&lt;&gt;"",$K$20,_xlfn.ANCHORARRAY($K$20)/2),)+IF(F72="Fel",IF(G72&lt;&gt;"",$K$21,$K$21/2),)+IF(H72&lt;&gt;"",10,0)+IF(I72&lt;&gt;"",10,0)+IF(J72&lt;&gt;"",10,0)</f>
        <v>0</v>
      </c>
      <c r="L72" s="128"/>
      <c r="M72" s="128"/>
      <c r="N72" s="128"/>
      <c r="O72" s="128"/>
      <c r="P72" s="128"/>
      <c r="Q72" s="128"/>
      <c r="R72" s="128">
        <f t="shared" si="3"/>
        <v>0</v>
      </c>
      <c r="S72" s="44"/>
      <c r="T72" s="148" t="s">
        <v>163</v>
      </c>
      <c r="U72" s="149"/>
      <c r="V72" s="149"/>
      <c r="W72" s="149"/>
      <c r="X72" s="149"/>
      <c r="Y72" s="149"/>
      <c r="Z72" s="149"/>
      <c r="AA72" s="150"/>
      <c r="AB72" s="44"/>
      <c r="AC72" s="134"/>
      <c r="AD72" s="137"/>
      <c r="AE72" s="137"/>
      <c r="AF72" s="137"/>
      <c r="AG72" s="137"/>
      <c r="AH72" s="137"/>
      <c r="AI72" s="137"/>
      <c r="AJ72" s="137"/>
      <c r="AK72" s="137"/>
      <c r="AL72" s="137"/>
      <c r="AM72" s="137"/>
      <c r="AN72" s="137"/>
      <c r="AO72" s="137"/>
      <c r="AP72" s="137"/>
      <c r="AQ72" s="137"/>
      <c r="AR72" s="137"/>
      <c r="AS72" s="137"/>
      <c r="AT72" s="137"/>
      <c r="AU72" s="137"/>
      <c r="AV72" s="137"/>
      <c r="AW72" s="137"/>
      <c r="AX72" s="137"/>
      <c r="AY72" s="137"/>
      <c r="AZ72" s="134"/>
      <c r="BA72" s="134"/>
      <c r="BB72" s="134"/>
      <c r="BC72" s="134"/>
      <c r="BD72" s="134"/>
      <c r="BE72" s="134"/>
      <c r="BF72" s="134"/>
      <c r="BG72" s="134"/>
      <c r="BH72" s="134"/>
      <c r="BI72" s="134"/>
      <c r="BJ72" s="134"/>
      <c r="BK72" s="134"/>
      <c r="BL72" s="134"/>
      <c r="BM72" s="134"/>
      <c r="BN72" s="134"/>
      <c r="BO72" s="134"/>
      <c r="BP72" s="134"/>
    </row>
    <row r="73" customHeight="1" spans="1:69">
      <c r="A73" s="44"/>
      <c r="B73" s="79"/>
      <c r="C73" s="79"/>
      <c r="D73" s="79"/>
      <c r="E73" s="79"/>
      <c r="F73" s="138" t="s">
        <v>161</v>
      </c>
      <c r="G73" s="128"/>
      <c r="H73" s="128"/>
      <c r="I73" s="128"/>
      <c r="J73" s="128"/>
      <c r="K73" s="151">
        <f t="array" ref="K73">IF(F73="S",IF(G73&lt;&gt;"",$K$15,$K$15/2),)+IF(F73="T",IF(G73&lt;&gt;"",$K$16,$K$16/2),)+IF(F73="Ag",IF(G73&lt;&gt;"",$K$17,$K$17/2),)+IF(F73="Int",IF(G73&lt;&gt;"",$K$18,_xlfn.ANCHORARRAY($K$18)/2),)+IF(F73="Per",IF(G73&lt;&gt;"",$K$19,$K$19/2),)+IF(F73="WP",IF(G73&lt;&gt;"",$K$20,_xlfn.ANCHORARRAY($K$20)/2),)+IF(F73="Fel",IF(G73&lt;&gt;"",$K$21,$K$21/2),)+IF(H73&lt;&gt;"",10,0)+IF(I73&lt;&gt;"",10,0)+IF(J73&lt;&gt;"",10,0)</f>
        <v>0</v>
      </c>
      <c r="L73" s="128"/>
      <c r="M73" s="128"/>
      <c r="N73" s="128"/>
      <c r="O73" s="128"/>
      <c r="P73" s="128"/>
      <c r="Q73" s="128"/>
      <c r="R73" s="128">
        <f t="shared" si="3"/>
        <v>0</v>
      </c>
      <c r="S73" s="44"/>
      <c r="T73" s="152"/>
      <c r="U73" s="153"/>
      <c r="V73" s="153"/>
      <c r="W73" s="153"/>
      <c r="X73" s="153"/>
      <c r="Y73" s="153"/>
      <c r="Z73" s="153"/>
      <c r="AA73" s="154"/>
      <c r="AB73" s="44"/>
      <c r="AC73" s="134"/>
      <c r="AD73" s="137"/>
      <c r="AE73" s="137"/>
      <c r="AF73" s="137"/>
      <c r="AG73" s="137"/>
      <c r="AH73" s="137"/>
      <c r="AI73" s="137"/>
      <c r="AJ73" s="137"/>
      <c r="AK73" s="137"/>
      <c r="AL73" s="137"/>
      <c r="AM73" s="137"/>
      <c r="AN73" s="137"/>
      <c r="AO73" s="137"/>
      <c r="AP73" s="137"/>
      <c r="AQ73" s="137"/>
      <c r="AR73" s="137"/>
      <c r="AS73" s="137"/>
      <c r="AT73" s="137"/>
      <c r="AU73" s="137"/>
      <c r="AV73" s="137"/>
      <c r="AW73" s="137"/>
      <c r="AX73" s="137"/>
      <c r="AY73" s="137"/>
    </row>
    <row r="74" customHeight="1" spans="1:69">
      <c r="A74" s="44"/>
      <c r="B74" s="79"/>
      <c r="C74" s="79"/>
      <c r="D74" s="79"/>
      <c r="E74" s="79"/>
      <c r="F74" s="138" t="s">
        <v>161</v>
      </c>
      <c r="G74" s="128"/>
      <c r="H74" s="128"/>
      <c r="I74" s="128"/>
      <c r="J74" s="128"/>
      <c r="K74" s="151">
        <f t="array" ref="K74">IF(F74="S",IF(G74&lt;&gt;"",$K$15,$K$15/2),)+IF(F74="T",IF(G74&lt;&gt;"",$K$16,$K$16/2),)+IF(F74="Ag",IF(G74&lt;&gt;"",$K$17,$K$17/2),)+IF(F74="Int",IF(G74&lt;&gt;"",$K$18,_xlfn.ANCHORARRAY($K$18)/2),)+IF(F74="Per",IF(G74&lt;&gt;"",$K$19,$K$19/2),)+IF(F74="WP",IF(G74&lt;&gt;"",$K$20,_xlfn.ANCHORARRAY($K$20)/2),)+IF(F74="Fel",IF(G74&lt;&gt;"",$K$21,$K$21/2),)+IF(H74&lt;&gt;"",10,0)+IF(I74&lt;&gt;"",10,0)+IF(J74&lt;&gt;"",10,0)</f>
        <v>0</v>
      </c>
      <c r="L74" s="128"/>
      <c r="M74" s="128"/>
      <c r="N74" s="128"/>
      <c r="O74" s="128"/>
      <c r="P74" s="128"/>
      <c r="Q74" s="128"/>
      <c r="R74" s="128">
        <f t="shared" si="3"/>
        <v>0</v>
      </c>
      <c r="S74" s="44"/>
      <c r="T74" s="158"/>
      <c r="U74" s="85"/>
      <c r="V74" s="85"/>
      <c r="W74" s="85"/>
      <c r="X74" s="85"/>
      <c r="Y74" s="85"/>
      <c r="Z74" s="85"/>
      <c r="AA74" s="159"/>
      <c r="AB74" s="44"/>
      <c r="AC74" s="134"/>
      <c r="AD74" s="137"/>
      <c r="AE74" s="137"/>
      <c r="AF74" s="137"/>
      <c r="AG74" s="137"/>
      <c r="AH74" s="137"/>
      <c r="AI74" s="137"/>
      <c r="AJ74" s="137"/>
      <c r="AK74" s="137"/>
      <c r="AL74" s="137"/>
      <c r="AM74" s="137"/>
      <c r="AN74" s="137"/>
      <c r="AO74" s="137"/>
      <c r="AP74" s="137"/>
      <c r="AQ74" s="137"/>
      <c r="AR74" s="137"/>
      <c r="AS74" s="137"/>
      <c r="AT74" s="137"/>
      <c r="AU74" s="137"/>
      <c r="AV74" s="137"/>
      <c r="AW74" s="137"/>
      <c r="AX74" s="137"/>
      <c r="AY74" s="137"/>
    </row>
    <row r="75" customHeight="1" spans="1:69">
      <c r="A75" s="44"/>
      <c r="B75" s="79"/>
      <c r="C75" s="79"/>
      <c r="D75" s="79"/>
      <c r="E75" s="79"/>
      <c r="F75" s="138" t="s">
        <v>161</v>
      </c>
      <c r="G75" s="128"/>
      <c r="H75" s="128"/>
      <c r="I75" s="128"/>
      <c r="J75" s="128"/>
      <c r="K75" s="151">
        <f t="array" ref="K75">IF(F75="S",IF(G75&lt;&gt;"",$K$15,$K$15/2),)+IF(F75="T",IF(G75&lt;&gt;"",$K$16,$K$16/2),)+IF(F75="Ag",IF(G75&lt;&gt;"",$K$17,$K$17/2),)+IF(F75="Int",IF(G75&lt;&gt;"",$K$18,_xlfn.ANCHORARRAY($K$18)/2),)+IF(F75="Per",IF(G75&lt;&gt;"",$K$19,$K$19/2),)+IF(F75="WP",IF(G75&lt;&gt;"",$K$20,_xlfn.ANCHORARRAY($K$20)/2),)+IF(F75="Fel",IF(G75&lt;&gt;"",$K$21,$K$21/2),)+IF(H75&lt;&gt;"",10,0)+IF(I75&lt;&gt;"",10,0)+IF(J75&lt;&gt;"",10,0)</f>
        <v>0</v>
      </c>
      <c r="L75" s="128"/>
      <c r="M75" s="128"/>
      <c r="N75" s="128"/>
      <c r="O75" s="128"/>
      <c r="P75" s="128"/>
      <c r="Q75" s="128"/>
      <c r="R75" s="128">
        <f t="shared" si="3"/>
        <v>0</v>
      </c>
      <c r="S75" s="44"/>
      <c r="T75" s="158"/>
      <c r="U75" s="85"/>
      <c r="V75" s="85"/>
      <c r="W75" s="85"/>
      <c r="X75" s="85"/>
      <c r="Y75" s="85"/>
      <c r="Z75" s="85"/>
      <c r="AA75" s="159"/>
      <c r="AB75" s="44"/>
      <c r="AC75" s="134"/>
      <c r="AD75" s="137"/>
      <c r="AE75" s="137"/>
      <c r="AF75" s="137"/>
      <c r="AG75" s="137"/>
      <c r="AH75" s="137"/>
      <c r="AI75" s="137"/>
      <c r="AJ75" s="137"/>
      <c r="AK75" s="137"/>
      <c r="AL75" s="137"/>
      <c r="AM75" s="137"/>
      <c r="AN75" s="137"/>
      <c r="AO75" s="137"/>
      <c r="AP75" s="137"/>
      <c r="AQ75" s="137"/>
      <c r="AR75" s="137"/>
      <c r="AS75" s="137"/>
      <c r="AT75" s="137"/>
      <c r="AU75" s="137"/>
      <c r="AV75" s="137"/>
      <c r="AW75" s="137"/>
      <c r="AX75" s="137"/>
      <c r="AY75" s="137"/>
      <c r="AZ75" s="134"/>
      <c r="BA75" s="134"/>
      <c r="BB75" s="134"/>
      <c r="BC75" s="134"/>
      <c r="BD75" s="134"/>
      <c r="BE75" s="134"/>
      <c r="BF75" s="134"/>
      <c r="BG75" s="134"/>
      <c r="BH75" s="134"/>
      <c r="BI75" s="134"/>
      <c r="BJ75" s="134"/>
      <c r="BK75" s="134"/>
      <c r="BL75" s="134"/>
      <c r="BM75" s="134"/>
      <c r="BN75" s="134"/>
      <c r="BO75" s="134"/>
      <c r="BP75" s="134"/>
      <c r="BQ75" s="134"/>
    </row>
    <row r="76" customHeight="1" spans="1:69">
      <c r="A76" s="44"/>
      <c r="B76" s="79"/>
      <c r="C76" s="79"/>
      <c r="D76" s="79"/>
      <c r="E76" s="79"/>
      <c r="F76" s="138" t="s">
        <v>161</v>
      </c>
      <c r="G76" s="128"/>
      <c r="H76" s="128"/>
      <c r="I76" s="128"/>
      <c r="J76" s="128"/>
      <c r="K76" s="151">
        <f t="array" ref="K76">IF(F76="S",IF(G76&lt;&gt;"",$K$15,$K$15/2),)+IF(F76="T",IF(G76&lt;&gt;"",$K$16,$K$16/2),)+IF(F76="Ag",IF(G76&lt;&gt;"",$K$17,$K$17/2),)+IF(F76="Int",IF(G76&lt;&gt;"",$K$18,_xlfn.ANCHORARRAY($K$18)/2),)+IF(F76="Per",IF(G76&lt;&gt;"",$K$19,$K$19/2),)+IF(F76="WP",IF(G76&lt;&gt;"",$K$20,_xlfn.ANCHORARRAY($K$20)/2),)+IF(F76="Fel",IF(G76&lt;&gt;"",$K$21,$K$21/2),)+IF(H76&lt;&gt;"",10,0)+IF(I76&lt;&gt;"",10,0)+IF(J76&lt;&gt;"",10,0)</f>
        <v>0</v>
      </c>
      <c r="L76" s="128"/>
      <c r="M76" s="128"/>
      <c r="N76" s="128"/>
      <c r="O76" s="128"/>
      <c r="P76" s="128"/>
      <c r="Q76" s="128"/>
      <c r="R76" s="128">
        <f t="shared" si="3"/>
        <v>0</v>
      </c>
      <c r="S76" s="44"/>
      <c r="T76" s="155"/>
      <c r="U76" s="156"/>
      <c r="V76" s="156"/>
      <c r="W76" s="156"/>
      <c r="X76" s="156"/>
      <c r="Y76" s="156"/>
      <c r="Z76" s="156"/>
      <c r="AA76" s="157"/>
      <c r="AB76" s="44"/>
      <c r="AC76" s="134"/>
      <c r="AD76" s="137"/>
      <c r="AE76" s="137"/>
      <c r="AF76" s="137"/>
      <c r="AG76" s="137"/>
      <c r="AH76" s="137"/>
      <c r="AI76" s="137"/>
      <c r="AJ76" s="137"/>
      <c r="AK76" s="137"/>
      <c r="AL76" s="137"/>
      <c r="AM76" s="137"/>
      <c r="AN76" s="137"/>
      <c r="AO76" s="137"/>
      <c r="AP76" s="137"/>
      <c r="AQ76" s="137"/>
      <c r="AR76" s="137"/>
      <c r="AS76" s="137"/>
      <c r="AT76" s="137"/>
      <c r="AU76" s="137"/>
      <c r="AV76" s="137"/>
      <c r="AW76" s="137"/>
      <c r="AX76" s="137"/>
      <c r="AY76" s="137"/>
      <c r="AZ76" s="134"/>
      <c r="BA76" s="134"/>
      <c r="BB76" s="134"/>
      <c r="BC76" s="134"/>
      <c r="BD76" s="134"/>
      <c r="BE76" s="134"/>
      <c r="BF76" s="134"/>
      <c r="BG76" s="134"/>
      <c r="BH76" s="134"/>
      <c r="BI76" s="134"/>
      <c r="BJ76" s="134"/>
      <c r="BK76" s="134"/>
      <c r="BL76" s="134"/>
      <c r="BM76" s="134"/>
      <c r="BN76" s="134"/>
      <c r="BO76" s="134"/>
      <c r="BP76" s="134"/>
      <c r="BQ76" s="134"/>
    </row>
    <row r="77" customHeight="1" spans="1:69">
      <c r="A77" s="44"/>
      <c r="B77" s="79"/>
      <c r="C77" s="79"/>
      <c r="D77" s="79"/>
      <c r="E77" s="79"/>
      <c r="F77" s="138" t="s">
        <v>161</v>
      </c>
      <c r="G77" s="128"/>
      <c r="H77" s="128"/>
      <c r="I77" s="128"/>
      <c r="J77" s="128"/>
      <c r="K77" s="151">
        <f t="array" ref="K77">IF(F77="S",IF(G77&lt;&gt;"",$K$15,$K$15/2),)+IF(F77="T",IF(G77&lt;&gt;"",$K$16,$K$16/2),)+IF(F77="Ag",IF(G77&lt;&gt;"",$K$17,$K$17/2),)+IF(F77="Int",IF(G77&lt;&gt;"",$K$18,_xlfn.ANCHORARRAY($K$18)/2),)+IF(F77="Per",IF(G77&lt;&gt;"",$K$19,$K$19/2),)+IF(F77="WP",IF(G77&lt;&gt;"",$K$20,_xlfn.ANCHORARRAY($K$20)/2),)+IF(F77="Fel",IF(G77&lt;&gt;"",$K$21,$K$21/2),)+IF(H77&lt;&gt;"",10,0)+IF(I77&lt;&gt;"",10,0)+IF(J77&lt;&gt;"",10,0)</f>
        <v>0</v>
      </c>
      <c r="L77" s="128"/>
      <c r="M77" s="128"/>
      <c r="N77" s="128"/>
      <c r="O77" s="128"/>
      <c r="P77" s="128"/>
      <c r="Q77" s="128"/>
      <c r="R77" s="128">
        <f t="shared" si="3"/>
        <v>0</v>
      </c>
      <c r="S77" s="44"/>
      <c r="T77" s="44"/>
      <c r="U77" s="44"/>
      <c r="V77" s="44"/>
      <c r="W77" s="44"/>
      <c r="X77" s="44"/>
      <c r="Y77" s="44"/>
      <c r="Z77" s="44"/>
      <c r="AA77" s="44"/>
      <c r="AB77" s="44"/>
      <c r="AC77" s="134"/>
      <c r="AD77" s="137"/>
      <c r="AE77" s="137"/>
      <c r="AF77" s="137"/>
      <c r="AG77" s="137"/>
      <c r="AH77" s="137"/>
      <c r="AI77" s="137"/>
      <c r="AJ77" s="137"/>
      <c r="AK77" s="137"/>
      <c r="AL77" s="137"/>
      <c r="AM77" s="137"/>
      <c r="AN77" s="137"/>
      <c r="AO77" s="137"/>
      <c r="AP77" s="137"/>
      <c r="AQ77" s="137"/>
      <c r="AR77" s="137"/>
      <c r="AS77" s="137"/>
      <c r="AT77" s="137"/>
      <c r="AU77" s="137"/>
      <c r="AV77" s="137"/>
      <c r="AW77" s="137"/>
      <c r="AX77" s="137"/>
      <c r="AY77" s="137"/>
      <c r="AZ77" s="134"/>
      <c r="BA77" s="134"/>
      <c r="BB77" s="134"/>
      <c r="BC77" s="134"/>
      <c r="BD77" s="134"/>
      <c r="BE77" s="134"/>
      <c r="BF77" s="134"/>
      <c r="BG77" s="134"/>
      <c r="BH77" s="134"/>
      <c r="BI77" s="134"/>
      <c r="BJ77" s="134"/>
      <c r="BK77" s="134"/>
      <c r="BL77" s="134"/>
      <c r="BM77" s="134"/>
      <c r="BN77" s="134"/>
      <c r="BO77" s="134"/>
      <c r="BP77" s="134"/>
      <c r="BQ77" s="134"/>
    </row>
    <row r="78" customHeight="1" spans="1:69">
      <c r="A78" s="44"/>
      <c r="B78" s="79"/>
      <c r="C78" s="79"/>
      <c r="D78" s="79"/>
      <c r="E78" s="79"/>
      <c r="F78" s="138" t="s">
        <v>161</v>
      </c>
      <c r="G78" s="128"/>
      <c r="H78" s="128"/>
      <c r="I78" s="128"/>
      <c r="J78" s="128"/>
      <c r="K78" s="151">
        <f t="array" ref="K78">IF(F78="S",IF(G78&lt;&gt;"",$K$15,$K$15/2),)+IF(F78="T",IF(G78&lt;&gt;"",$K$16,$K$16/2),)+IF(F78="Ag",IF(G78&lt;&gt;"",$K$17,$K$17/2),)+IF(F78="Int",IF(G78&lt;&gt;"",$K$18,_xlfn.ANCHORARRAY($K$18)/2),)+IF(F78="Per",IF(G78&lt;&gt;"",$K$19,$K$19/2),)+IF(F78="WP",IF(G78&lt;&gt;"",$K$20,_xlfn.ANCHORARRAY($K$20)/2),)+IF(F78="Fel",IF(G78&lt;&gt;"",$K$21,$K$21/2),)+IF(H78&lt;&gt;"",10,0)+IF(I78&lt;&gt;"",10,0)+IF(J78&lt;&gt;"",10,0)</f>
        <v>0</v>
      </c>
      <c r="L78" s="128"/>
      <c r="M78" s="128"/>
      <c r="N78" s="128"/>
      <c r="O78" s="128"/>
      <c r="P78" s="128"/>
      <c r="Q78" s="128"/>
      <c r="R78" s="128">
        <f t="shared" si="3"/>
        <v>0</v>
      </c>
      <c r="S78" s="44"/>
      <c r="T78" s="87" t="s">
        <v>33</v>
      </c>
      <c r="U78" s="87"/>
      <c r="V78" s="87"/>
      <c r="W78" s="87"/>
      <c r="X78" s="87"/>
      <c r="Y78" s="87"/>
      <c r="Z78" s="87"/>
      <c r="AA78" s="87"/>
      <c r="AB78" s="44"/>
      <c r="AC78" s="134"/>
      <c r="AD78" s="137"/>
      <c r="AE78" s="137"/>
      <c r="AF78" s="137"/>
      <c r="AG78" s="137"/>
      <c r="AH78" s="137"/>
      <c r="AI78" s="137"/>
      <c r="AJ78" s="137"/>
      <c r="AK78" s="137"/>
      <c r="AL78" s="137"/>
      <c r="AM78" s="137"/>
      <c r="AN78" s="137"/>
      <c r="AO78" s="137"/>
      <c r="AP78" s="137"/>
      <c r="AQ78" s="137"/>
      <c r="AR78" s="137"/>
      <c r="AS78" s="137"/>
      <c r="AT78" s="137"/>
      <c r="AU78" s="137"/>
      <c r="AV78" s="137"/>
      <c r="AW78" s="137"/>
      <c r="AX78" s="137"/>
      <c r="AY78" s="137"/>
      <c r="AZ78" s="134"/>
      <c r="BA78" s="134"/>
      <c r="BB78" s="134"/>
      <c r="BC78" s="134"/>
      <c r="BD78" s="134"/>
      <c r="BE78" s="134"/>
      <c r="BF78" s="134"/>
      <c r="BG78" s="134"/>
      <c r="BH78" s="134"/>
      <c r="BI78" s="134"/>
      <c r="BJ78" s="134"/>
      <c r="BK78" s="134"/>
      <c r="BL78" s="134"/>
      <c r="BM78" s="134"/>
      <c r="BN78" s="134"/>
      <c r="BO78" s="134"/>
      <c r="BP78" s="134"/>
      <c r="BQ78" s="134"/>
    </row>
    <row r="79" customHeight="1" spans="1:69">
      <c r="A79" s="44"/>
      <c r="B79" s="79"/>
      <c r="C79" s="79"/>
      <c r="D79" s="79"/>
      <c r="E79" s="79"/>
      <c r="F79" s="138" t="s">
        <v>161</v>
      </c>
      <c r="G79" s="128"/>
      <c r="H79" s="128"/>
      <c r="I79" s="128"/>
      <c r="J79" s="128"/>
      <c r="K79" s="151">
        <f t="array" ref="K79">IF(F79="S",IF(G79&lt;&gt;"",$K$15,$K$15/2),)+IF(F79="T",IF(G79&lt;&gt;"",$K$16,$K$16/2),)+IF(F79="Ag",IF(G79&lt;&gt;"",$K$17,$K$17/2),)+IF(F79="Int",IF(G79&lt;&gt;"",$K$18,_xlfn.ANCHORARRAY($K$18)/2),)+IF(F79="Per",IF(G79&lt;&gt;"",$K$19,$K$19/2),)+IF(F79="WP",IF(G79&lt;&gt;"",$K$20,_xlfn.ANCHORARRAY($K$20)/2),)+IF(F79="Fel",IF(G79&lt;&gt;"",$K$21,$K$21/2),)+IF(H79&lt;&gt;"",10,0)+IF(I79&lt;&gt;"",10,0)+IF(J79&lt;&gt;"",10,0)</f>
        <v>0</v>
      </c>
      <c r="L79" s="128"/>
      <c r="M79" s="128"/>
      <c r="N79" s="128"/>
      <c r="O79" s="128"/>
      <c r="P79" s="128"/>
      <c r="Q79" s="128"/>
      <c r="R79" s="128">
        <f t="shared" si="3"/>
        <v>0</v>
      </c>
      <c r="S79" s="44"/>
      <c r="T79" s="152"/>
      <c r="U79" s="153"/>
      <c r="V79" s="153"/>
      <c r="W79" s="153"/>
      <c r="X79" s="153"/>
      <c r="Y79" s="153"/>
      <c r="Z79" s="153"/>
      <c r="AA79" s="154"/>
      <c r="AB79" s="44"/>
      <c r="AC79" s="134"/>
      <c r="AD79" s="137"/>
      <c r="AE79" s="137"/>
      <c r="AF79" s="137"/>
      <c r="AG79" s="137"/>
      <c r="AH79" s="137"/>
      <c r="AI79" s="137"/>
      <c r="AJ79" s="137"/>
      <c r="AK79" s="137"/>
      <c r="AL79" s="137"/>
      <c r="AM79" s="137"/>
      <c r="AN79" s="137"/>
      <c r="AO79" s="137"/>
      <c r="AP79" s="137"/>
      <c r="AQ79" s="137"/>
      <c r="AR79" s="137"/>
      <c r="AS79" s="137"/>
      <c r="AT79" s="137"/>
      <c r="AU79" s="137"/>
      <c r="AV79" s="137"/>
      <c r="AW79" s="137"/>
      <c r="AX79" s="137"/>
      <c r="AY79" s="137"/>
      <c r="AZ79" s="134"/>
      <c r="BA79" s="134"/>
      <c r="BB79" s="134"/>
      <c r="BC79" s="134"/>
      <c r="BD79" s="134"/>
      <c r="BE79" s="134"/>
      <c r="BF79" s="134"/>
      <c r="BG79" s="134"/>
      <c r="BH79" s="134"/>
      <c r="BI79" s="134"/>
      <c r="BJ79" s="134"/>
      <c r="BK79" s="134"/>
      <c r="BL79" s="134"/>
      <c r="BM79" s="134"/>
      <c r="BN79" s="134"/>
      <c r="BO79" s="134"/>
      <c r="BP79" s="134"/>
      <c r="BQ79" s="134"/>
    </row>
    <row r="80" customHeight="1" spans="1:69">
      <c r="A80" s="44"/>
      <c r="B80" s="79"/>
      <c r="C80" s="79"/>
      <c r="D80" s="79"/>
      <c r="E80" s="79"/>
      <c r="F80" s="138" t="s">
        <v>161</v>
      </c>
      <c r="G80" s="128"/>
      <c r="H80" s="128"/>
      <c r="I80" s="128"/>
      <c r="J80" s="128"/>
      <c r="K80" s="151">
        <f t="array" ref="K80">IF(F80="S",IF(G80&lt;&gt;"",$K$15,$K$15/2),)+IF(F80="T",IF(G80&lt;&gt;"",$K$16,$K$16/2),)+IF(F80="Ag",IF(G80&lt;&gt;"",$K$17,$K$17/2),)+IF(F80="Int",IF(G80&lt;&gt;"",$K$18,_xlfn.ANCHORARRAY($K$18)/2),)+IF(F80="Per",IF(G80&lt;&gt;"",$K$19,$K$19/2),)+IF(F80="WP",IF(G80&lt;&gt;"",$K$20,_xlfn.ANCHORARRAY($K$20)/2),)+IF(F80="Fel",IF(G80&lt;&gt;"",$K$21,$K$21/2),)+IF(H80&lt;&gt;"",10,0)+IF(I80&lt;&gt;"",10,0)+IF(J80&lt;&gt;"",10,0)</f>
        <v>0</v>
      </c>
      <c r="L80" s="128"/>
      <c r="M80" s="128"/>
      <c r="N80" s="128"/>
      <c r="O80" s="128"/>
      <c r="P80" s="128"/>
      <c r="Q80" s="128"/>
      <c r="R80" s="128">
        <f t="shared" si="3"/>
        <v>0</v>
      </c>
      <c r="S80" s="44"/>
      <c r="T80" s="158"/>
      <c r="U80" s="85"/>
      <c r="V80" s="85"/>
      <c r="W80" s="85"/>
      <c r="X80" s="85"/>
      <c r="Y80" s="85"/>
      <c r="Z80" s="85"/>
      <c r="AA80" s="159"/>
      <c r="AB80" s="44"/>
      <c r="AC80" s="134"/>
      <c r="AD80" s="137"/>
      <c r="AE80" s="137"/>
      <c r="AF80" s="137"/>
      <c r="AG80" s="137"/>
      <c r="AH80" s="137"/>
      <c r="AI80" s="137"/>
      <c r="AJ80" s="137"/>
      <c r="AK80" s="137"/>
      <c r="AL80" s="137"/>
      <c r="AM80" s="137"/>
      <c r="AN80" s="137"/>
      <c r="AO80" s="137"/>
      <c r="AP80" s="137"/>
      <c r="AQ80" s="137"/>
      <c r="AR80" s="137"/>
      <c r="AS80" s="137"/>
      <c r="AT80" s="137"/>
      <c r="AU80" s="137"/>
      <c r="AV80" s="137"/>
      <c r="AW80" s="137"/>
      <c r="AX80" s="137"/>
      <c r="AY80" s="137"/>
      <c r="AZ80" s="134"/>
      <c r="BA80" s="134"/>
      <c r="BB80" s="134"/>
      <c r="BC80" s="134"/>
      <c r="BD80" s="134"/>
      <c r="BE80" s="134"/>
      <c r="BF80" s="134"/>
      <c r="BG80" s="134"/>
      <c r="BH80" s="134"/>
      <c r="BI80" s="134"/>
      <c r="BJ80" s="134"/>
      <c r="BK80" s="134"/>
      <c r="BL80" s="134"/>
      <c r="BM80" s="134"/>
      <c r="BN80" s="134"/>
      <c r="BO80" s="134"/>
      <c r="BP80" s="134"/>
      <c r="BQ80" s="134"/>
    </row>
    <row r="81" customHeight="1" spans="1:69">
      <c r="A81" s="44"/>
      <c r="B81" s="79"/>
      <c r="C81" s="79"/>
      <c r="D81" s="79"/>
      <c r="E81" s="79"/>
      <c r="F81" s="138" t="s">
        <v>161</v>
      </c>
      <c r="G81" s="128"/>
      <c r="H81" s="128"/>
      <c r="I81" s="128"/>
      <c r="J81" s="128"/>
      <c r="K81" s="151">
        <f t="array" ref="K81">IF(F81="S",IF(G81&lt;&gt;"",$K$15,$K$15/2),)+IF(F81="T",IF(G81&lt;&gt;"",$K$16,$K$16/2),)+IF(F81="Ag",IF(G81&lt;&gt;"",$K$17,$K$17/2),)+IF(F81="Int",IF(G81&lt;&gt;"",$K$18,_xlfn.ANCHORARRAY($K$18)/2),)+IF(F81="Per",IF(G81&lt;&gt;"",$K$19,$K$19/2),)+IF(F81="WP",IF(G81&lt;&gt;"",$K$20,_xlfn.ANCHORARRAY($K$20)/2),)+IF(F81="Fel",IF(G81&lt;&gt;"",$K$21,$K$21/2),)+IF(H81&lt;&gt;"",10,0)+IF(I81&lt;&gt;"",10,0)+IF(J81&lt;&gt;"",10,0)</f>
        <v>0</v>
      </c>
      <c r="L81" s="128"/>
      <c r="M81" s="128"/>
      <c r="N81" s="128"/>
      <c r="O81" s="128"/>
      <c r="P81" s="128"/>
      <c r="Q81" s="128"/>
      <c r="R81" s="128">
        <f t="shared" si="3"/>
        <v>0</v>
      </c>
      <c r="S81" s="44"/>
      <c r="T81" s="158"/>
      <c r="U81" s="85"/>
      <c r="V81" s="85"/>
      <c r="W81" s="85"/>
      <c r="X81" s="85"/>
      <c r="Y81" s="85"/>
      <c r="Z81" s="85"/>
      <c r="AA81" s="159"/>
      <c r="AB81" s="44"/>
      <c r="AC81" s="134"/>
      <c r="AD81" s="137"/>
      <c r="AE81" s="137"/>
      <c r="AF81" s="137"/>
      <c r="AG81" s="137"/>
      <c r="AH81" s="137"/>
      <c r="AI81" s="137"/>
      <c r="AJ81" s="137"/>
      <c r="AK81" s="137"/>
      <c r="AL81" s="137"/>
      <c r="AM81" s="137"/>
      <c r="AN81" s="137"/>
      <c r="AO81" s="137"/>
      <c r="AP81" s="137"/>
      <c r="AQ81" s="137"/>
      <c r="AR81" s="137"/>
      <c r="AS81" s="137"/>
      <c r="AT81" s="137"/>
      <c r="AU81" s="137"/>
      <c r="AV81" s="137"/>
      <c r="AW81" s="137"/>
      <c r="AX81" s="137"/>
      <c r="AY81" s="137"/>
      <c r="AZ81" s="134"/>
      <c r="BA81" s="134"/>
      <c r="BB81" s="134"/>
      <c r="BC81" s="134"/>
      <c r="BD81" s="134"/>
      <c r="BE81" s="134"/>
      <c r="BF81" s="134"/>
      <c r="BG81" s="134"/>
      <c r="BH81" s="134"/>
      <c r="BI81" s="134"/>
      <c r="BJ81" s="134"/>
      <c r="BK81" s="134"/>
      <c r="BL81" s="134"/>
      <c r="BM81" s="134"/>
      <c r="BN81" s="134"/>
      <c r="BO81" s="134"/>
      <c r="BP81" s="134"/>
      <c r="BQ81" s="134"/>
    </row>
    <row r="82" customHeight="1" spans="1:69">
      <c r="A82" s="44"/>
      <c r="B82" s="79"/>
      <c r="C82" s="79"/>
      <c r="D82" s="79"/>
      <c r="E82" s="79"/>
      <c r="F82" s="138" t="s">
        <v>161</v>
      </c>
      <c r="G82" s="128"/>
      <c r="H82" s="128"/>
      <c r="I82" s="128"/>
      <c r="J82" s="128"/>
      <c r="K82" s="151">
        <f t="array" ref="K82">IF(F82="S",IF(G82&lt;&gt;"",$K$15,$K$15/2),)+IF(F82="T",IF(G82&lt;&gt;"",$K$16,$K$16/2),)+IF(F82="Ag",IF(G82&lt;&gt;"",$K$17,$K$17/2),)+IF(F82="Int",IF(G82&lt;&gt;"",$K$18,_xlfn.ANCHORARRAY($K$18)/2),)+IF(F82="Per",IF(G82&lt;&gt;"",$K$19,$K$19/2),)+IF(F82="WP",IF(G82&lt;&gt;"",$K$20,_xlfn.ANCHORARRAY($K$20)/2),)+IF(F82="Fel",IF(G82&lt;&gt;"",$K$21,$K$21/2),)+IF(H82&lt;&gt;"",10,0)+IF(I82&lt;&gt;"",10,0)+IF(J82&lt;&gt;"",10,0)</f>
        <v>0</v>
      </c>
      <c r="L82" s="128"/>
      <c r="M82" s="128"/>
      <c r="N82" s="128"/>
      <c r="O82" s="128"/>
      <c r="P82" s="128"/>
      <c r="Q82" s="128"/>
      <c r="R82" s="128">
        <f t="shared" si="3"/>
        <v>0</v>
      </c>
      <c r="S82" s="44"/>
      <c r="T82" s="158"/>
      <c r="U82" s="85"/>
      <c r="V82" s="85"/>
      <c r="W82" s="85"/>
      <c r="X82" s="85"/>
      <c r="Y82" s="85"/>
      <c r="Z82" s="85"/>
      <c r="AA82" s="159"/>
      <c r="AB82" s="44"/>
      <c r="AC82" s="134"/>
      <c r="AD82" s="137"/>
      <c r="AE82" s="137"/>
      <c r="AF82" s="137"/>
      <c r="AG82" s="137"/>
      <c r="AH82" s="137"/>
      <c r="AI82" s="137"/>
      <c r="AJ82" s="137"/>
      <c r="AK82" s="137"/>
      <c r="AL82" s="137"/>
      <c r="AM82" s="137"/>
      <c r="AN82" s="137"/>
      <c r="AO82" s="137"/>
      <c r="AP82" s="137"/>
      <c r="AQ82" s="137"/>
      <c r="AR82" s="137"/>
      <c r="AS82" s="137"/>
      <c r="AT82" s="137"/>
      <c r="AU82" s="137"/>
      <c r="AV82" s="137"/>
      <c r="AW82" s="137"/>
      <c r="AX82" s="137"/>
      <c r="AY82" s="137"/>
      <c r="AZ82" s="134"/>
      <c r="BA82" s="134"/>
      <c r="BB82" s="134"/>
      <c r="BC82" s="134"/>
      <c r="BD82" s="134"/>
      <c r="BE82" s="134"/>
      <c r="BF82" s="134"/>
      <c r="BG82" s="134"/>
      <c r="BH82" s="134"/>
      <c r="BI82" s="134"/>
      <c r="BJ82" s="134"/>
      <c r="BK82" s="134"/>
      <c r="BL82" s="134"/>
      <c r="BM82" s="134"/>
      <c r="BN82" s="134"/>
      <c r="BO82" s="134"/>
      <c r="BP82" s="134"/>
      <c r="BQ82" s="134"/>
    </row>
    <row r="83" customHeight="1" spans="1:69">
      <c r="A83" s="44"/>
      <c r="B83" s="79"/>
      <c r="C83" s="79"/>
      <c r="D83" s="79"/>
      <c r="E83" s="79"/>
      <c r="F83" s="138" t="s">
        <v>161</v>
      </c>
      <c r="G83" s="128"/>
      <c r="H83" s="128"/>
      <c r="I83" s="128"/>
      <c r="J83" s="128"/>
      <c r="K83" s="151">
        <f t="array" ref="K83">IF(F83="S",IF(G83&lt;&gt;"",$K$15,$K$15/2),)+IF(F83="T",IF(G83&lt;&gt;"",$K$16,$K$16/2),)+IF(F83="Ag",IF(G83&lt;&gt;"",$K$17,$K$17/2),)+IF(F83="Int",IF(G83&lt;&gt;"",$K$18,_xlfn.ANCHORARRAY($K$18)/2),)+IF(F83="Per",IF(G83&lt;&gt;"",$K$19,$K$19/2),)+IF(F83="WP",IF(G83&lt;&gt;"",$K$20,_xlfn.ANCHORARRAY($K$20)/2),)+IF(F83="Fel",IF(G83&lt;&gt;"",$K$21,$K$21/2),)+IF(H83&lt;&gt;"",10,0)+IF(I83&lt;&gt;"",10,0)+IF(J83&lt;&gt;"",10,0)</f>
        <v>0</v>
      </c>
      <c r="L83" s="128"/>
      <c r="M83" s="128"/>
      <c r="N83" s="128"/>
      <c r="O83" s="128"/>
      <c r="P83" s="128"/>
      <c r="Q83" s="128"/>
      <c r="R83" s="128">
        <f t="shared" si="3"/>
        <v>0</v>
      </c>
      <c r="S83" s="44"/>
      <c r="T83" s="158"/>
      <c r="U83" s="85"/>
      <c r="V83" s="85"/>
      <c r="W83" s="85"/>
      <c r="X83" s="85"/>
      <c r="Y83" s="85"/>
      <c r="Z83" s="85"/>
      <c r="AA83" s="159"/>
      <c r="AB83" s="44"/>
      <c r="AC83" s="134"/>
      <c r="AD83" s="137"/>
      <c r="AE83" s="137"/>
      <c r="AF83" s="137"/>
      <c r="AG83" s="137"/>
      <c r="AH83" s="137"/>
      <c r="AI83" s="137"/>
      <c r="AJ83" s="137"/>
      <c r="AK83" s="137"/>
      <c r="AL83" s="137"/>
      <c r="AM83" s="137"/>
      <c r="AN83" s="137"/>
      <c r="AO83" s="137"/>
      <c r="AP83" s="137"/>
      <c r="AQ83" s="137"/>
      <c r="AR83" s="137"/>
      <c r="AS83" s="137"/>
      <c r="AT83" s="137"/>
      <c r="AU83" s="137"/>
      <c r="AV83" s="137"/>
      <c r="AW83" s="137"/>
      <c r="AX83" s="137"/>
      <c r="AY83" s="137"/>
      <c r="AZ83" s="134"/>
      <c r="BA83" s="134"/>
      <c r="BB83" s="134"/>
      <c r="BC83" s="134"/>
      <c r="BD83" s="134"/>
      <c r="BE83" s="134"/>
      <c r="BF83" s="134"/>
      <c r="BG83" s="134"/>
      <c r="BH83" s="134"/>
      <c r="BI83" s="134"/>
      <c r="BJ83" s="134"/>
      <c r="BK83" s="134"/>
      <c r="BL83" s="134"/>
      <c r="BM83" s="134"/>
      <c r="BN83" s="134"/>
      <c r="BO83" s="134"/>
      <c r="BP83" s="134"/>
      <c r="BQ83" s="134"/>
    </row>
    <row r="84" customHeight="1" spans="1:69">
      <c r="A84" s="44"/>
      <c r="B84" s="79"/>
      <c r="C84" s="79"/>
      <c r="D84" s="79"/>
      <c r="E84" s="79"/>
      <c r="F84" s="138" t="s">
        <v>161</v>
      </c>
      <c r="G84" s="128"/>
      <c r="H84" s="128"/>
      <c r="I84" s="128"/>
      <c r="J84" s="128"/>
      <c r="K84" s="151">
        <f t="array" ref="K84">IF(F84="S",IF(G84&lt;&gt;"",$K$15,$K$15/2),)+IF(F84="T",IF(G84&lt;&gt;"",$K$16,$K$16/2),)+IF(F84="Ag",IF(G84&lt;&gt;"",$K$17,$K$17/2),)+IF(F84="Int",IF(G84&lt;&gt;"",$K$18,_xlfn.ANCHORARRAY($K$18)/2),)+IF(F84="Per",IF(G84&lt;&gt;"",$K$19,$K$19/2),)+IF(F84="WP",IF(G84&lt;&gt;"",$K$20,_xlfn.ANCHORARRAY($K$20)/2),)+IF(F84="Fel",IF(G84&lt;&gt;"",$K$21,$K$21/2),)+IF(H84&lt;&gt;"",10,0)+IF(I84&lt;&gt;"",10,0)+IF(J84&lt;&gt;"",10,0)</f>
        <v>0</v>
      </c>
      <c r="L84" s="128"/>
      <c r="M84" s="128"/>
      <c r="N84" s="128"/>
      <c r="O84" s="128"/>
      <c r="P84" s="128"/>
      <c r="Q84" s="128"/>
      <c r="R84" s="128">
        <f t="shared" si="3"/>
        <v>0</v>
      </c>
      <c r="S84" s="44"/>
      <c r="T84" s="158"/>
      <c r="U84" s="85"/>
      <c r="V84" s="85"/>
      <c r="W84" s="85"/>
      <c r="X84" s="85"/>
      <c r="Y84" s="85"/>
      <c r="Z84" s="85"/>
      <c r="AA84" s="159"/>
      <c r="AB84" s="44"/>
      <c r="AC84" s="134"/>
      <c r="AD84" s="137"/>
      <c r="AE84" s="137"/>
      <c r="AF84" s="137"/>
      <c r="AG84" s="137"/>
      <c r="AH84" s="137"/>
      <c r="AI84" s="137"/>
      <c r="AJ84" s="137"/>
      <c r="AK84" s="137"/>
      <c r="AL84" s="137"/>
      <c r="AM84" s="137"/>
      <c r="AN84" s="137"/>
      <c r="AO84" s="137"/>
      <c r="AP84" s="137"/>
      <c r="AQ84" s="137"/>
      <c r="AR84" s="137"/>
      <c r="AS84" s="137"/>
      <c r="AT84" s="137"/>
      <c r="AU84" s="137"/>
      <c r="AV84" s="137"/>
      <c r="AW84" s="137"/>
      <c r="AX84" s="137"/>
      <c r="AY84" s="137"/>
      <c r="AZ84" s="134"/>
      <c r="BA84" s="134"/>
      <c r="BB84" s="134"/>
      <c r="BC84" s="134"/>
      <c r="BD84" s="134"/>
      <c r="BE84" s="134"/>
      <c r="BF84" s="134"/>
      <c r="BG84" s="134"/>
      <c r="BH84" s="134"/>
      <c r="BI84" s="134"/>
      <c r="BJ84" s="134"/>
      <c r="BK84" s="134"/>
      <c r="BL84" s="134"/>
      <c r="BM84" s="134"/>
      <c r="BN84" s="134"/>
      <c r="BO84" s="134"/>
      <c r="BP84" s="134"/>
      <c r="BQ84" s="134"/>
    </row>
    <row r="85" customHeight="1" spans="1:69">
      <c r="A85" s="44"/>
      <c r="B85" s="79"/>
      <c r="C85" s="79"/>
      <c r="D85" s="79"/>
      <c r="E85" s="79"/>
      <c r="F85" s="138" t="s">
        <v>161</v>
      </c>
      <c r="G85" s="128"/>
      <c r="H85" s="128"/>
      <c r="I85" s="128"/>
      <c r="J85" s="128"/>
      <c r="K85" s="151">
        <f t="array" ref="K85">IF(F85="S",IF(G85&lt;&gt;"",$K$15,$K$15/2),)+IF(F85="T",IF(G85&lt;&gt;"",$K$16,$K$16/2),)+IF(F85="Ag",IF(G85&lt;&gt;"",$K$17,$K$17/2),)+IF(F85="Int",IF(G85&lt;&gt;"",$K$18,_xlfn.ANCHORARRAY($K$18)/2),)+IF(F85="Per",IF(G85&lt;&gt;"",$K$19,$K$19/2),)+IF(F85="WP",IF(G85&lt;&gt;"",$K$20,_xlfn.ANCHORARRAY($K$20)/2),)+IF(F85="Fel",IF(G85&lt;&gt;"",$K$21,$K$21/2),)+IF(H85&lt;&gt;"",10,0)+IF(I85&lt;&gt;"",10,0)+IF(J85&lt;&gt;"",10,0)</f>
        <v>0</v>
      </c>
      <c r="L85" s="88"/>
      <c r="M85" s="88"/>
      <c r="N85" s="88"/>
      <c r="O85" s="88"/>
      <c r="P85" s="88"/>
      <c r="Q85" s="88"/>
      <c r="R85" s="128">
        <f t="shared" si="3"/>
        <v>0</v>
      </c>
      <c r="S85" s="44"/>
      <c r="T85" s="158"/>
      <c r="U85" s="85"/>
      <c r="V85" s="85"/>
      <c r="W85" s="85"/>
      <c r="X85" s="85"/>
      <c r="Y85" s="85"/>
      <c r="Z85" s="85"/>
      <c r="AA85" s="159"/>
      <c r="AB85" s="44"/>
      <c r="AC85" s="134"/>
      <c r="AD85" s="137"/>
      <c r="AE85" s="137"/>
      <c r="AF85" s="137"/>
      <c r="AG85" s="137"/>
      <c r="AH85" s="137"/>
      <c r="AI85" s="137"/>
      <c r="AJ85" s="137"/>
      <c r="AK85" s="137"/>
      <c r="AL85" s="137"/>
      <c r="AM85" s="137"/>
      <c r="AN85" s="137"/>
      <c r="AO85" s="137"/>
      <c r="AP85" s="137"/>
      <c r="AQ85" s="137"/>
      <c r="AR85" s="137"/>
      <c r="AS85" s="137"/>
      <c r="AT85" s="137"/>
      <c r="AU85" s="137"/>
      <c r="AV85" s="137"/>
      <c r="AW85" s="137"/>
      <c r="AX85" s="137"/>
      <c r="AY85" s="137"/>
      <c r="AZ85" s="134"/>
      <c r="BA85" s="134"/>
      <c r="BB85" s="134"/>
      <c r="BC85" s="134"/>
      <c r="BD85" s="134"/>
      <c r="BE85" s="134"/>
      <c r="BF85" s="134"/>
      <c r="BG85" s="134"/>
      <c r="BH85" s="134"/>
      <c r="BI85" s="134"/>
      <c r="BJ85" s="134"/>
      <c r="BK85" s="134"/>
      <c r="BL85" s="134"/>
      <c r="BM85" s="134"/>
      <c r="BN85" s="134"/>
      <c r="BO85" s="134"/>
      <c r="BP85" s="134"/>
      <c r="BQ85" s="134"/>
    </row>
    <row r="86" customHeight="1" spans="1:69">
      <c r="A86" s="44"/>
      <c r="B86" s="79"/>
      <c r="C86" s="79"/>
      <c r="D86" s="79"/>
      <c r="E86" s="79"/>
      <c r="F86" s="138" t="s">
        <v>161</v>
      </c>
      <c r="G86" s="128"/>
      <c r="H86" s="128"/>
      <c r="I86" s="128"/>
      <c r="J86" s="128"/>
      <c r="K86" s="151">
        <f t="array" ref="K86">IF(F86="S",IF(G86&lt;&gt;"",$K$15,$K$15/2),)+IF(F86="T",IF(G86&lt;&gt;"",$K$16,$K$16/2),)+IF(F86="Ag",IF(G86&lt;&gt;"",$K$17,$K$17/2),)+IF(F86="Int",IF(G86&lt;&gt;"",$K$18,_xlfn.ANCHORARRAY($K$18)/2),)+IF(F86="Per",IF(G86&lt;&gt;"",$K$19,$K$19/2),)+IF(F86="WP",IF(G86&lt;&gt;"",$K$20,_xlfn.ANCHORARRAY($K$20)/2),)+IF(F86="Fel",IF(G86&lt;&gt;"",$K$21,$K$21/2),)+IF(H86&lt;&gt;"",10,0)+IF(I86&lt;&gt;"",10,0)+IF(J86&lt;&gt;"",10,0)</f>
        <v>0</v>
      </c>
      <c r="L86" s="88"/>
      <c r="M86" s="88"/>
      <c r="N86" s="88"/>
      <c r="O86" s="88"/>
      <c r="P86" s="88"/>
      <c r="Q86" s="88"/>
      <c r="R86" s="128">
        <f t="shared" si="3"/>
        <v>0</v>
      </c>
      <c r="S86" s="44"/>
      <c r="T86" s="158"/>
      <c r="U86" s="85"/>
      <c r="V86" s="85"/>
      <c r="W86" s="85"/>
      <c r="X86" s="85"/>
      <c r="Y86" s="85"/>
      <c r="Z86" s="85"/>
      <c r="AA86" s="159"/>
      <c r="AB86" s="44"/>
      <c r="AC86" s="134"/>
      <c r="AD86" s="137"/>
      <c r="AE86" s="137"/>
      <c r="AF86" s="137"/>
      <c r="AG86" s="137"/>
      <c r="AH86" s="137"/>
      <c r="AI86" s="137"/>
      <c r="AJ86" s="137"/>
      <c r="AK86" s="137"/>
      <c r="AL86" s="137"/>
      <c r="AM86" s="137"/>
      <c r="AN86" s="137"/>
      <c r="AO86" s="137"/>
      <c r="AP86" s="137"/>
      <c r="AQ86" s="137"/>
      <c r="AR86" s="137"/>
      <c r="AS86" s="137"/>
      <c r="AT86" s="137"/>
      <c r="AU86" s="137"/>
      <c r="AV86" s="137"/>
      <c r="AW86" s="137"/>
      <c r="AX86" s="137"/>
      <c r="AY86" s="137"/>
      <c r="AZ86" s="134"/>
      <c r="BA86" s="134"/>
      <c r="BB86" s="134"/>
      <c r="BC86" s="134"/>
      <c r="BD86" s="134"/>
      <c r="BE86" s="134"/>
      <c r="BF86" s="134"/>
      <c r="BG86" s="134"/>
      <c r="BH86" s="134"/>
      <c r="BI86" s="134"/>
      <c r="BJ86" s="134"/>
      <c r="BK86" s="134"/>
      <c r="BL86" s="134"/>
      <c r="BM86" s="134"/>
      <c r="BN86" s="134"/>
      <c r="BO86" s="134"/>
      <c r="BP86" s="134"/>
      <c r="BQ86" s="134"/>
    </row>
    <row r="87" customHeight="1" spans="1:69">
      <c r="A87" s="44"/>
      <c r="B87" s="79"/>
      <c r="C87" s="79"/>
      <c r="D87" s="79"/>
      <c r="E87" s="79"/>
      <c r="F87" s="138" t="s">
        <v>161</v>
      </c>
      <c r="G87" s="128"/>
      <c r="H87" s="128"/>
      <c r="I87" s="128"/>
      <c r="J87" s="128"/>
      <c r="K87" s="151">
        <f t="array" ref="K87">IF(F87="S",IF(G87&lt;&gt;"",$K$15,$K$15/2),)+IF(F87="T",IF(G87&lt;&gt;"",$K$16,$K$16/2),)+IF(F87="Ag",IF(G87&lt;&gt;"",$K$17,$K$17/2),)+IF(F87="Int",IF(G87&lt;&gt;"",$K$18,_xlfn.ANCHORARRAY($K$18)/2),)+IF(F87="Per",IF(G87&lt;&gt;"",$K$19,$K$19/2),)+IF(F87="WP",IF(G87&lt;&gt;"",$K$20,_xlfn.ANCHORARRAY($K$20)/2),)+IF(F87="Fel",IF(G87&lt;&gt;"",$K$21,$K$21/2),)+IF(H87&lt;&gt;"",10,0)+IF(I87&lt;&gt;"",10,0)+IF(J87&lt;&gt;"",10,0)</f>
        <v>0</v>
      </c>
      <c r="L87" s="128"/>
      <c r="M87" s="128"/>
      <c r="N87" s="128"/>
      <c r="O87" s="128"/>
      <c r="P87" s="128"/>
      <c r="Q87" s="128"/>
      <c r="R87" s="128">
        <f t="shared" si="3"/>
        <v>0</v>
      </c>
      <c r="S87" s="44"/>
      <c r="T87" s="158"/>
      <c r="U87" s="85"/>
      <c r="V87" s="85"/>
      <c r="W87" s="85"/>
      <c r="X87" s="85"/>
      <c r="Y87" s="85"/>
      <c r="Z87" s="85"/>
      <c r="AA87" s="159"/>
      <c r="AB87" s="44"/>
      <c r="AC87" s="134"/>
      <c r="AD87" s="137"/>
      <c r="AE87" s="137"/>
      <c r="AF87" s="137"/>
      <c r="AG87" s="137"/>
      <c r="AH87" s="137"/>
      <c r="AI87" s="137"/>
      <c r="AJ87" s="137"/>
      <c r="AK87" s="137"/>
      <c r="AL87" s="137"/>
      <c r="AM87" s="137"/>
      <c r="AN87" s="137"/>
      <c r="AO87" s="137"/>
      <c r="AP87" s="137"/>
      <c r="AQ87" s="137"/>
      <c r="AR87" s="137"/>
      <c r="AS87" s="137"/>
      <c r="AT87" s="137"/>
      <c r="AU87" s="137"/>
      <c r="AV87" s="137"/>
      <c r="AW87" s="137"/>
      <c r="AX87" s="137"/>
      <c r="AY87" s="137"/>
      <c r="AZ87" s="134"/>
      <c r="BA87" s="134"/>
      <c r="BB87" s="134"/>
      <c r="BC87" s="134"/>
      <c r="BD87" s="134"/>
      <c r="BE87" s="134"/>
      <c r="BF87" s="134"/>
      <c r="BG87" s="134"/>
      <c r="BH87" s="134"/>
      <c r="BI87" s="134"/>
      <c r="BJ87" s="134"/>
      <c r="BK87" s="134"/>
      <c r="BL87" s="134"/>
      <c r="BM87" s="134"/>
      <c r="BN87" s="134"/>
      <c r="BO87" s="134"/>
      <c r="BP87" s="134"/>
      <c r="BQ87" s="134"/>
    </row>
    <row r="88" customHeight="1" spans="1:69">
      <c r="A88" s="44"/>
      <c r="B88" s="79"/>
      <c r="C88" s="79"/>
      <c r="D88" s="79"/>
      <c r="E88" s="79"/>
      <c r="F88" s="138" t="s">
        <v>161</v>
      </c>
      <c r="G88" s="128"/>
      <c r="H88" s="128"/>
      <c r="I88" s="128"/>
      <c r="J88" s="128"/>
      <c r="K88" s="151">
        <f t="array" ref="K88">IF(F88="S",IF(G88&lt;&gt;"",$K$15,$K$15/2),)+IF(F88="T",IF(G88&lt;&gt;"",$K$16,$K$16/2),)+IF(F88="Ag",IF(G88&lt;&gt;"",$K$17,$K$17/2),)+IF(F88="Int",IF(G88&lt;&gt;"",$K$18,_xlfn.ANCHORARRAY($K$18)/2),)+IF(F88="Per",IF(G88&lt;&gt;"",$K$19,$K$19/2),)+IF(F88="WP",IF(G88&lt;&gt;"",$K$20,_xlfn.ANCHORARRAY($K$20)/2),)+IF(F88="Fel",IF(G88&lt;&gt;"",$K$21,$K$21/2),)+IF(H88&lt;&gt;"",10,0)+IF(I88&lt;&gt;"",10,0)+IF(J88&lt;&gt;"",10,0)</f>
        <v>0</v>
      </c>
      <c r="L88" s="128"/>
      <c r="M88" s="128"/>
      <c r="N88" s="128"/>
      <c r="O88" s="128"/>
      <c r="P88" s="128"/>
      <c r="Q88" s="128"/>
      <c r="R88" s="128">
        <f t="shared" si="3"/>
        <v>0</v>
      </c>
      <c r="S88" s="44"/>
      <c r="T88" s="158"/>
      <c r="U88" s="85"/>
      <c r="V88" s="85"/>
      <c r="W88" s="85"/>
      <c r="X88" s="85"/>
      <c r="Y88" s="85"/>
      <c r="Z88" s="85"/>
      <c r="AA88" s="159"/>
      <c r="AB88" s="44"/>
      <c r="AC88" s="134"/>
      <c r="AD88" s="137"/>
      <c r="AE88" s="137"/>
      <c r="AF88" s="137"/>
      <c r="AG88" s="137"/>
      <c r="AH88" s="137"/>
      <c r="AI88" s="137"/>
      <c r="AJ88" s="137"/>
      <c r="AK88" s="137"/>
      <c r="AL88" s="137"/>
      <c r="AM88" s="137"/>
      <c r="AN88" s="137"/>
      <c r="AO88" s="137"/>
      <c r="AP88" s="137"/>
      <c r="AQ88" s="137"/>
      <c r="AR88" s="137"/>
      <c r="AS88" s="137"/>
      <c r="AT88" s="137"/>
      <c r="AU88" s="137"/>
      <c r="AV88" s="137"/>
      <c r="AW88" s="137"/>
      <c r="AX88" s="137"/>
      <c r="AY88" s="137"/>
      <c r="AZ88" s="134"/>
      <c r="BA88" s="134"/>
      <c r="BB88" s="134"/>
      <c r="BC88" s="134"/>
      <c r="BD88" s="134"/>
      <c r="BE88" s="134"/>
      <c r="BF88" s="134"/>
      <c r="BG88" s="134"/>
      <c r="BH88" s="134"/>
      <c r="BI88" s="134"/>
      <c r="BJ88" s="134"/>
      <c r="BK88" s="134"/>
      <c r="BL88" s="134"/>
      <c r="BM88" s="134"/>
      <c r="BN88" s="134"/>
      <c r="BO88" s="134"/>
      <c r="BP88" s="134"/>
      <c r="BQ88" s="134"/>
    </row>
    <row r="89" customHeight="1" spans="1:69">
      <c r="A89" s="44"/>
      <c r="B89" s="79"/>
      <c r="C89" s="79"/>
      <c r="D89" s="79"/>
      <c r="E89" s="79"/>
      <c r="F89" s="138" t="s">
        <v>161</v>
      </c>
      <c r="G89" s="128"/>
      <c r="H89" s="128"/>
      <c r="I89" s="128"/>
      <c r="J89" s="128"/>
      <c r="K89" s="151">
        <f t="array" ref="K89">IF(F89="S",IF(G89&lt;&gt;"",$K$15,$K$15/2),)+IF(F89="T",IF(G89&lt;&gt;"",$K$16,$K$16/2),)+IF(F89="Ag",IF(G89&lt;&gt;"",$K$17,$K$17/2),)+IF(F89="Int",IF(G89&lt;&gt;"",$K$18,_xlfn.ANCHORARRAY($K$18)/2),)+IF(F89="Per",IF(G89&lt;&gt;"",$K$19,$K$19/2),)+IF(F89="WP",IF(G89&lt;&gt;"",$K$20,_xlfn.ANCHORARRAY($K$20)/2),)+IF(F89="Fel",IF(G89&lt;&gt;"",$K$21,$K$21/2),)+IF(H89&lt;&gt;"",10,0)+IF(I89&lt;&gt;"",10,0)+IF(J89&lt;&gt;"",10,0)</f>
        <v>0</v>
      </c>
      <c r="L89" s="128"/>
      <c r="M89" s="128"/>
      <c r="N89" s="128"/>
      <c r="O89" s="128"/>
      <c r="P89" s="128"/>
      <c r="Q89" s="128"/>
      <c r="R89" s="128">
        <f t="shared" si="3"/>
        <v>0</v>
      </c>
      <c r="S89" s="44"/>
      <c r="T89" s="158"/>
      <c r="U89" s="85"/>
      <c r="V89" s="85"/>
      <c r="W89" s="85"/>
      <c r="X89" s="85"/>
      <c r="Y89" s="85"/>
      <c r="Z89" s="85"/>
      <c r="AA89" s="159"/>
      <c r="AB89" s="44"/>
      <c r="AC89" s="134"/>
      <c r="AD89" s="137"/>
      <c r="AE89" s="137"/>
      <c r="AF89" s="137"/>
      <c r="AG89" s="137"/>
      <c r="AH89" s="137"/>
      <c r="AI89" s="137"/>
      <c r="AJ89" s="137"/>
      <c r="AK89" s="137"/>
      <c r="AL89" s="137"/>
      <c r="AM89" s="137"/>
      <c r="AN89" s="137"/>
      <c r="AO89" s="137"/>
      <c r="AP89" s="137"/>
      <c r="AQ89" s="137"/>
      <c r="AR89" s="137"/>
      <c r="AS89" s="137"/>
      <c r="AT89" s="137"/>
      <c r="AU89" s="137"/>
      <c r="AV89" s="137"/>
      <c r="AW89" s="137"/>
      <c r="AX89" s="137"/>
      <c r="AY89" s="137"/>
      <c r="AZ89" s="134"/>
      <c r="BA89" s="134"/>
      <c r="BB89" s="134"/>
      <c r="BC89" s="134"/>
      <c r="BD89" s="134"/>
      <c r="BE89" s="134"/>
      <c r="BF89" s="134"/>
      <c r="BG89" s="134"/>
      <c r="BH89" s="134"/>
      <c r="BI89" s="134"/>
      <c r="BJ89" s="134"/>
      <c r="BK89" s="134"/>
      <c r="BL89" s="134"/>
      <c r="BM89" s="134"/>
      <c r="BN89" s="134"/>
      <c r="BO89" s="134"/>
      <c r="BP89" s="134"/>
      <c r="BQ89" s="134"/>
    </row>
    <row r="90" customHeight="1" spans="1:69">
      <c r="A90" s="44"/>
      <c r="B90" s="79"/>
      <c r="C90" s="79"/>
      <c r="D90" s="79"/>
      <c r="E90" s="79"/>
      <c r="F90" s="138" t="s">
        <v>161</v>
      </c>
      <c r="G90" s="128"/>
      <c r="H90" s="128"/>
      <c r="I90" s="128"/>
      <c r="J90" s="128"/>
      <c r="K90" s="151">
        <f t="array" ref="K90">IF(F90="S",IF(G90&lt;&gt;"",$K$15,$K$15/2),)+IF(F90="T",IF(G90&lt;&gt;"",$K$16,$K$16/2),)+IF(F90="Ag",IF(G90&lt;&gt;"",$K$17,$K$17/2),)+IF(F90="Int",IF(G90&lt;&gt;"",$K$18,_xlfn.ANCHORARRAY($K$18)/2),)+IF(F90="Per",IF(G90&lt;&gt;"",$K$19,$K$19/2),)+IF(F90="WP",IF(G90&lt;&gt;"",$K$20,_xlfn.ANCHORARRAY($K$20)/2),)+IF(F90="Fel",IF(G90&lt;&gt;"",$K$21,$K$21/2),)+IF(H90&lt;&gt;"",10,0)+IF(I90&lt;&gt;"",10,0)+IF(J90&lt;&gt;"",10,0)</f>
        <v>0</v>
      </c>
      <c r="L90" s="128"/>
      <c r="M90" s="128"/>
      <c r="N90" s="128"/>
      <c r="O90" s="128"/>
      <c r="P90" s="128"/>
      <c r="Q90" s="128"/>
      <c r="R90" s="128">
        <f t="shared" si="3"/>
        <v>0</v>
      </c>
      <c r="S90" s="44"/>
      <c r="T90" s="158"/>
      <c r="U90" s="85"/>
      <c r="V90" s="85"/>
      <c r="W90" s="85"/>
      <c r="X90" s="85"/>
      <c r="Y90" s="85"/>
      <c r="Z90" s="85"/>
      <c r="AA90" s="159"/>
      <c r="AB90" s="44"/>
      <c r="AC90" s="134"/>
      <c r="AD90" s="137"/>
      <c r="AE90" s="137"/>
      <c r="AF90" s="137"/>
      <c r="AG90" s="137"/>
      <c r="AH90" s="137"/>
      <c r="AI90" s="137"/>
      <c r="AJ90" s="137"/>
      <c r="AK90" s="137"/>
      <c r="AL90" s="137"/>
      <c r="AM90" s="137"/>
      <c r="AN90" s="137"/>
      <c r="AO90" s="137"/>
      <c r="AP90" s="137"/>
      <c r="AQ90" s="137"/>
      <c r="AR90" s="137"/>
      <c r="AS90" s="137"/>
      <c r="AT90" s="137"/>
      <c r="AU90" s="137"/>
      <c r="AV90" s="137"/>
      <c r="AW90" s="137"/>
      <c r="AX90" s="137"/>
      <c r="AY90" s="137"/>
      <c r="AZ90" s="134"/>
      <c r="BA90" s="134"/>
      <c r="BB90" s="134"/>
      <c r="BC90" s="134"/>
      <c r="BD90" s="134"/>
      <c r="BE90" s="134"/>
      <c r="BF90" s="134"/>
      <c r="BG90" s="134"/>
      <c r="BH90" s="134"/>
      <c r="BI90" s="134"/>
      <c r="BJ90" s="134"/>
      <c r="BK90" s="134"/>
      <c r="BL90" s="134"/>
      <c r="BM90" s="134"/>
      <c r="BN90" s="134"/>
      <c r="BO90" s="134"/>
      <c r="BP90" s="134"/>
      <c r="BQ90" s="134"/>
    </row>
    <row r="91" customHeight="1" spans="1:69">
      <c r="A91" s="44"/>
      <c r="B91" s="79"/>
      <c r="C91" s="79"/>
      <c r="D91" s="79"/>
      <c r="E91" s="79"/>
      <c r="F91" s="138" t="s">
        <v>161</v>
      </c>
      <c r="G91" s="128"/>
      <c r="H91" s="128"/>
      <c r="I91" s="128"/>
      <c r="J91" s="128"/>
      <c r="K91" s="151">
        <f t="array" ref="K91">IF(F91="S",IF(G91&lt;&gt;"",$K$15,$K$15/2),)+IF(F91="T",IF(G91&lt;&gt;"",$K$16,$K$16/2),)+IF(F91="Ag",IF(G91&lt;&gt;"",$K$17,$K$17/2),)+IF(F91="Int",IF(G91&lt;&gt;"",$K$18,_xlfn.ANCHORARRAY($K$18)/2),)+IF(F91="Per",IF(G91&lt;&gt;"",$K$19,$K$19/2),)+IF(F91="WP",IF(G91&lt;&gt;"",$K$20,_xlfn.ANCHORARRAY($K$20)/2),)+IF(F91="Fel",IF(G91&lt;&gt;"",$K$21,$K$21/2),)+IF(H91&lt;&gt;"",10,0)+IF(I91&lt;&gt;"",10,0)+IF(J91&lt;&gt;"",10,0)</f>
        <v>0</v>
      </c>
      <c r="L91" s="128"/>
      <c r="M91" s="128"/>
      <c r="N91" s="128"/>
      <c r="O91" s="128"/>
      <c r="P91" s="128"/>
      <c r="Q91" s="128"/>
      <c r="R91" s="128">
        <f t="shared" si="3"/>
        <v>0</v>
      </c>
      <c r="S91" s="44"/>
      <c r="T91" s="158"/>
      <c r="U91" s="85"/>
      <c r="V91" s="85"/>
      <c r="W91" s="85"/>
      <c r="X91" s="85"/>
      <c r="Y91" s="85"/>
      <c r="Z91" s="85"/>
      <c r="AA91" s="159"/>
      <c r="AB91" s="44"/>
      <c r="AC91" s="134"/>
      <c r="AD91" s="137"/>
      <c r="AE91" s="137"/>
      <c r="AF91" s="137"/>
      <c r="AG91" s="137"/>
      <c r="AH91" s="137"/>
      <c r="AI91" s="137"/>
      <c r="AJ91" s="137"/>
      <c r="AK91" s="137"/>
      <c r="AL91" s="137"/>
      <c r="AM91" s="137"/>
      <c r="AN91" s="137"/>
      <c r="AO91" s="137"/>
      <c r="AP91" s="137"/>
      <c r="AQ91" s="137"/>
      <c r="AR91" s="137"/>
      <c r="AS91" s="137"/>
      <c r="AT91" s="137"/>
      <c r="AU91" s="137"/>
      <c r="AV91" s="137"/>
      <c r="AW91" s="137"/>
      <c r="AX91" s="137"/>
      <c r="AY91" s="137"/>
      <c r="AZ91" s="134"/>
      <c r="BA91" s="134"/>
      <c r="BB91" s="134"/>
      <c r="BC91" s="134"/>
      <c r="BD91" s="134"/>
      <c r="BE91" s="134"/>
      <c r="BF91" s="134"/>
      <c r="BG91" s="134"/>
      <c r="BH91" s="134"/>
      <c r="BI91" s="134"/>
      <c r="BJ91" s="134"/>
      <c r="BK91" s="134"/>
      <c r="BL91" s="134"/>
      <c r="BM91" s="134"/>
      <c r="BN91" s="134"/>
      <c r="BO91" s="134"/>
      <c r="BP91" s="134"/>
      <c r="BQ91" s="134"/>
    </row>
    <row r="92" customHeight="1" spans="1:69">
      <c r="A92" s="44"/>
      <c r="B92" s="79"/>
      <c r="C92" s="79"/>
      <c r="D92" s="79"/>
      <c r="E92" s="79"/>
      <c r="F92" s="138" t="s">
        <v>161</v>
      </c>
      <c r="G92" s="128"/>
      <c r="H92" s="128"/>
      <c r="I92" s="128"/>
      <c r="J92" s="128"/>
      <c r="K92" s="151">
        <f t="array" ref="K92">IF(F92="S",IF(G92&lt;&gt;"",$K$15,$K$15/2),)+IF(F92="T",IF(G92&lt;&gt;"",$K$16,$K$16/2),)+IF(F92="Ag",IF(G92&lt;&gt;"",$K$17,$K$17/2),)+IF(F92="Int",IF(G92&lt;&gt;"",$K$18,_xlfn.ANCHORARRAY($K$18)/2),)+IF(F92="Per",IF(G92&lt;&gt;"",$K$19,$K$19/2),)+IF(F92="WP",IF(G92&lt;&gt;"",$K$20,_xlfn.ANCHORARRAY($K$20)/2),)+IF(F92="Fel",IF(G92&lt;&gt;"",$K$21,$K$21/2),)+IF(H92&lt;&gt;"",10,0)+IF(I92&lt;&gt;"",10,0)+IF(J92&lt;&gt;"",10,0)</f>
        <v>0</v>
      </c>
      <c r="L92" s="128"/>
      <c r="M92" s="128"/>
      <c r="N92" s="128"/>
      <c r="O92" s="128"/>
      <c r="P92" s="128"/>
      <c r="Q92" s="128"/>
      <c r="R92" s="128">
        <f t="shared" si="3"/>
        <v>0</v>
      </c>
      <c r="S92" s="44"/>
      <c r="T92" s="155"/>
      <c r="U92" s="156"/>
      <c r="V92" s="156"/>
      <c r="W92" s="156"/>
      <c r="X92" s="156"/>
      <c r="Y92" s="156"/>
      <c r="Z92" s="156"/>
      <c r="AA92" s="157"/>
      <c r="AB92" s="44"/>
      <c r="AC92" s="134"/>
      <c r="AD92" s="137"/>
      <c r="AE92" s="137"/>
      <c r="AF92" s="137"/>
      <c r="AG92" s="137"/>
      <c r="AH92" s="137"/>
      <c r="AI92" s="137"/>
      <c r="AJ92" s="137"/>
      <c r="AK92" s="137"/>
      <c r="AL92" s="137"/>
      <c r="AM92" s="137"/>
      <c r="AN92" s="137"/>
      <c r="AO92" s="137"/>
      <c r="AP92" s="137"/>
      <c r="AQ92" s="137"/>
      <c r="AR92" s="137"/>
      <c r="AS92" s="137"/>
      <c r="AT92" s="137"/>
      <c r="AU92" s="137"/>
      <c r="AV92" s="137"/>
      <c r="AW92" s="137"/>
      <c r="AX92" s="137"/>
      <c r="AY92" s="137"/>
      <c r="AZ92" s="134"/>
      <c r="BA92" s="134"/>
      <c r="BB92" s="134"/>
      <c r="BC92" s="134"/>
      <c r="BD92" s="134"/>
      <c r="BE92" s="134"/>
      <c r="BF92" s="134"/>
      <c r="BG92" s="134"/>
      <c r="BH92" s="134"/>
      <c r="BI92" s="134"/>
      <c r="BJ92" s="134"/>
      <c r="BK92" s="134"/>
      <c r="BL92" s="134"/>
      <c r="BM92" s="134"/>
      <c r="BN92" s="134"/>
      <c r="BO92" s="134"/>
      <c r="BP92" s="134"/>
      <c r="BQ92" s="134"/>
    </row>
    <row r="93" customHeight="1" spans="1:69">
      <c r="A93" s="44"/>
      <c r="B93" s="44"/>
      <c r="C93" s="44"/>
      <c r="D93" s="44"/>
      <c r="E93" s="44"/>
      <c r="F93" s="44"/>
      <c r="G93" s="44"/>
      <c r="H93" s="44"/>
      <c r="I93" s="44"/>
      <c r="J93" s="44"/>
      <c r="K93" s="44"/>
      <c r="L93" s="44"/>
      <c r="M93" s="44"/>
      <c r="N93" s="44"/>
      <c r="O93" s="44"/>
      <c r="P93" s="44"/>
      <c r="Q93" s="44"/>
      <c r="R93" s="101">
        <f>SUM(R67:R92)</f>
        <v>0</v>
      </c>
      <c r="S93" s="44"/>
      <c r="T93" s="44"/>
      <c r="U93" s="44"/>
      <c r="V93" s="44"/>
      <c r="W93" s="44"/>
      <c r="X93" s="44"/>
      <c r="Y93" s="44"/>
      <c r="Z93" s="44"/>
      <c r="AA93" s="44"/>
      <c r="AB93" s="44"/>
      <c r="AD93" s="137"/>
      <c r="AE93" s="137"/>
      <c r="AF93" s="137"/>
      <c r="AG93" s="137"/>
      <c r="AH93" s="137"/>
      <c r="AI93" s="137"/>
      <c r="AJ93" s="137"/>
      <c r="AK93" s="137"/>
      <c r="AL93" s="137"/>
      <c r="AM93" s="137"/>
      <c r="AN93" s="137"/>
      <c r="AO93" s="137"/>
      <c r="AP93" s="137"/>
      <c r="AQ93" s="137"/>
      <c r="AR93" s="137"/>
      <c r="AS93" s="137"/>
      <c r="AT93" s="137"/>
      <c r="AU93" s="137"/>
      <c r="AV93" s="137"/>
      <c r="AW93" s="137"/>
      <c r="AX93" s="137"/>
      <c r="AY93" s="137"/>
      <c r="AZ93" s="134"/>
      <c r="BA93" s="134"/>
      <c r="BB93" s="134"/>
      <c r="BC93" s="134"/>
      <c r="BD93" s="134"/>
      <c r="BE93" s="134"/>
      <c r="BF93" s="134"/>
      <c r="BG93" s="134"/>
      <c r="BH93" s="134"/>
      <c r="BI93" s="134"/>
      <c r="BJ93" s="134"/>
      <c r="BK93" s="134"/>
      <c r="BL93" s="134"/>
      <c r="BM93" s="134"/>
      <c r="BN93" s="134"/>
      <c r="BO93" s="134"/>
      <c r="BP93" s="134"/>
      <c r="BQ93" s="134"/>
    </row>
    <row r="94" customHeight="1" spans="1:69">
      <c r="A94" s="44"/>
      <c r="B94" s="126" t="s">
        <v>164</v>
      </c>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44"/>
      <c r="AC94" s="134"/>
      <c r="AD94" s="137"/>
      <c r="AE94" s="137"/>
      <c r="AF94" s="137"/>
      <c r="AG94" s="137"/>
      <c r="AH94" s="137"/>
      <c r="AI94" s="137"/>
      <c r="AJ94" s="137"/>
      <c r="AK94" s="137"/>
      <c r="AL94" s="137"/>
      <c r="AM94" s="137"/>
      <c r="AN94" s="137"/>
      <c r="AO94" s="137"/>
      <c r="AP94" s="137"/>
      <c r="AQ94" s="137"/>
      <c r="AR94" s="137"/>
      <c r="AS94" s="137"/>
      <c r="AT94" s="137"/>
      <c r="AU94" s="137"/>
      <c r="AV94" s="137"/>
      <c r="AW94" s="137"/>
      <c r="AX94" s="137"/>
      <c r="AY94" s="137"/>
      <c r="AZ94" s="134"/>
      <c r="BA94" s="134"/>
      <c r="BB94" s="134"/>
      <c r="BC94" s="134"/>
      <c r="BD94" s="134"/>
      <c r="BE94" s="134"/>
      <c r="BF94" s="134"/>
      <c r="BG94" s="134"/>
      <c r="BH94" s="134"/>
      <c r="BI94" s="134"/>
      <c r="BJ94" s="134"/>
      <c r="BK94" s="134"/>
      <c r="BL94" s="134"/>
      <c r="BM94" s="134"/>
      <c r="BN94" s="134"/>
      <c r="BO94" s="134"/>
      <c r="BP94" s="134"/>
      <c r="BQ94" s="134"/>
    </row>
    <row r="95" customHeight="1" spans="1:69">
      <c r="A95" s="44"/>
      <c r="B95" s="160" t="s">
        <v>86</v>
      </c>
      <c r="C95" s="160"/>
      <c r="D95" s="160"/>
      <c r="E95" s="160"/>
      <c r="F95" s="160"/>
      <c r="G95" s="161" t="s">
        <v>165</v>
      </c>
      <c r="H95" s="161"/>
      <c r="I95" s="161"/>
      <c r="J95" s="161"/>
      <c r="K95" s="161"/>
      <c r="L95" s="161"/>
      <c r="M95" s="161"/>
      <c r="N95" s="161"/>
      <c r="O95" s="161"/>
      <c r="P95" s="161"/>
      <c r="Q95" s="161"/>
      <c r="R95" s="161"/>
      <c r="S95" s="161"/>
      <c r="T95" s="161"/>
      <c r="U95" s="161"/>
      <c r="V95" s="161"/>
      <c r="W95" s="161"/>
      <c r="X95" s="161"/>
      <c r="Y95" s="161"/>
      <c r="Z95" s="161"/>
      <c r="AA95" s="161"/>
      <c r="AB95" s="44"/>
      <c r="AC95" s="134"/>
      <c r="AD95" s="137"/>
      <c r="AE95" s="137"/>
      <c r="AF95" s="137"/>
      <c r="AG95" s="137"/>
      <c r="AH95" s="137"/>
      <c r="AI95" s="137"/>
      <c r="AJ95" s="137"/>
      <c r="AK95" s="137"/>
      <c r="AL95" s="137"/>
      <c r="AM95" s="137"/>
      <c r="AN95" s="137"/>
      <c r="AO95" s="137"/>
      <c r="AP95" s="137"/>
      <c r="AQ95" s="137"/>
      <c r="AR95" s="137"/>
      <c r="AS95" s="137"/>
      <c r="AT95" s="137"/>
      <c r="AU95" s="137"/>
      <c r="AV95" s="137"/>
      <c r="AW95" s="137"/>
      <c r="AX95" s="137"/>
      <c r="AY95" s="137"/>
      <c r="AZ95" s="134"/>
      <c r="BA95" s="134"/>
      <c r="BB95" s="134"/>
      <c r="BC95" s="134"/>
      <c r="BD95" s="134"/>
      <c r="BE95" s="134"/>
      <c r="BF95" s="134"/>
      <c r="BG95" s="134"/>
      <c r="BH95" s="134"/>
      <c r="BI95" s="134"/>
      <c r="BJ95" s="134"/>
      <c r="BK95" s="134"/>
      <c r="BL95" s="134"/>
      <c r="BM95" s="134"/>
      <c r="BN95" s="134"/>
      <c r="BO95" s="134"/>
      <c r="BP95" s="134"/>
      <c r="BQ95" s="134"/>
    </row>
    <row r="96" customHeight="1" spans="1:69">
      <c r="A96" s="44"/>
      <c r="B96" s="162"/>
      <c r="C96" s="163"/>
      <c r="D96" s="163"/>
      <c r="E96" s="163"/>
      <c r="F96" s="164"/>
      <c r="G96" s="165"/>
      <c r="H96" s="166"/>
      <c r="I96" s="166"/>
      <c r="J96" s="166"/>
      <c r="K96" s="166"/>
      <c r="L96" s="166"/>
      <c r="M96" s="166"/>
      <c r="N96" s="166"/>
      <c r="O96" s="166"/>
      <c r="P96" s="166"/>
      <c r="Q96" s="166"/>
      <c r="R96" s="166"/>
      <c r="S96" s="166"/>
      <c r="T96" s="166"/>
      <c r="U96" s="166"/>
      <c r="V96" s="166"/>
      <c r="W96" s="166"/>
      <c r="X96" s="166"/>
      <c r="Y96" s="166"/>
      <c r="Z96" s="166"/>
      <c r="AA96" s="167"/>
      <c r="AB96" s="44"/>
      <c r="AC96" s="134"/>
      <c r="AD96" s="137"/>
      <c r="AE96" s="137"/>
      <c r="AF96" s="137"/>
      <c r="AG96" s="137"/>
      <c r="AH96" s="137"/>
      <c r="AI96" s="137"/>
      <c r="AJ96" s="137"/>
      <c r="AK96" s="137"/>
      <c r="AL96" s="137"/>
      <c r="AM96" s="137"/>
      <c r="AN96" s="137"/>
      <c r="AO96" s="137"/>
      <c r="AP96" s="137"/>
      <c r="AQ96" s="137"/>
      <c r="AR96" s="137"/>
      <c r="AS96" s="137"/>
      <c r="AT96" s="137"/>
      <c r="AU96" s="137"/>
      <c r="AV96" s="137"/>
      <c r="AW96" s="137"/>
      <c r="AX96" s="137"/>
      <c r="AY96" s="137"/>
      <c r="AZ96" s="134"/>
      <c r="BA96" s="134"/>
      <c r="BB96" s="134"/>
      <c r="BC96" s="134"/>
      <c r="BD96" s="134"/>
      <c r="BE96" s="134"/>
      <c r="BF96" s="134"/>
      <c r="BG96" s="134"/>
      <c r="BH96" s="134"/>
      <c r="BI96" s="134"/>
      <c r="BJ96" s="134"/>
      <c r="BK96" s="134"/>
      <c r="BL96" s="134"/>
      <c r="BM96" s="134"/>
      <c r="BN96" s="134"/>
      <c r="BO96" s="134"/>
      <c r="BP96" s="134"/>
      <c r="BQ96" s="134"/>
    </row>
    <row r="97" customHeight="1" spans="1:69">
      <c r="A97" s="44"/>
      <c r="B97" s="162"/>
      <c r="C97" s="163"/>
      <c r="D97" s="163"/>
      <c r="E97" s="163"/>
      <c r="F97" s="164"/>
      <c r="G97" s="165"/>
      <c r="H97" s="166"/>
      <c r="I97" s="166"/>
      <c r="J97" s="166"/>
      <c r="K97" s="166"/>
      <c r="L97" s="166"/>
      <c r="M97" s="166"/>
      <c r="N97" s="166"/>
      <c r="O97" s="166"/>
      <c r="P97" s="166"/>
      <c r="Q97" s="166"/>
      <c r="R97" s="166"/>
      <c r="S97" s="166"/>
      <c r="T97" s="166"/>
      <c r="U97" s="166"/>
      <c r="V97" s="166"/>
      <c r="W97" s="166"/>
      <c r="X97" s="166"/>
      <c r="Y97" s="166"/>
      <c r="Z97" s="166"/>
      <c r="AA97" s="167"/>
      <c r="AB97" s="44"/>
      <c r="AC97" s="134"/>
      <c r="AD97" s="137"/>
      <c r="AE97" s="137"/>
      <c r="AF97" s="137"/>
      <c r="AG97" s="137"/>
      <c r="AH97" s="137"/>
      <c r="AI97" s="137"/>
      <c r="AJ97" s="137"/>
      <c r="AK97" s="137"/>
      <c r="AL97" s="137"/>
      <c r="AM97" s="137"/>
      <c r="AN97" s="137"/>
      <c r="AO97" s="137"/>
      <c r="AP97" s="137"/>
      <c r="AQ97" s="137"/>
      <c r="AR97" s="137"/>
      <c r="AS97" s="137"/>
      <c r="AT97" s="137"/>
      <c r="AU97" s="137"/>
      <c r="AV97" s="137"/>
      <c r="AW97" s="137"/>
      <c r="AX97" s="137"/>
      <c r="AY97" s="137"/>
      <c r="AZ97" s="134"/>
      <c r="BA97" s="134"/>
      <c r="BB97" s="134"/>
      <c r="BC97" s="134"/>
      <c r="BD97" s="134"/>
      <c r="BE97" s="134"/>
      <c r="BF97" s="134"/>
      <c r="BG97" s="134"/>
      <c r="BH97" s="134"/>
      <c r="BI97" s="134"/>
      <c r="BJ97" s="134"/>
      <c r="BK97" s="134"/>
      <c r="BL97" s="134"/>
      <c r="BM97" s="134"/>
      <c r="BN97" s="134"/>
      <c r="BO97" s="134"/>
      <c r="BP97" s="134"/>
      <c r="BQ97" s="134"/>
    </row>
    <row r="98" customHeight="1" spans="1:69">
      <c r="A98" s="44"/>
      <c r="B98" s="162"/>
      <c r="C98" s="163"/>
      <c r="D98" s="163"/>
      <c r="E98" s="163"/>
      <c r="F98" s="164"/>
      <c r="G98" s="165"/>
      <c r="H98" s="166"/>
      <c r="I98" s="166"/>
      <c r="J98" s="166"/>
      <c r="K98" s="166"/>
      <c r="L98" s="166"/>
      <c r="M98" s="166"/>
      <c r="N98" s="166"/>
      <c r="O98" s="166"/>
      <c r="P98" s="166"/>
      <c r="Q98" s="166"/>
      <c r="R98" s="166"/>
      <c r="S98" s="166"/>
      <c r="T98" s="166"/>
      <c r="U98" s="166"/>
      <c r="V98" s="166"/>
      <c r="W98" s="166"/>
      <c r="X98" s="166"/>
      <c r="Y98" s="166"/>
      <c r="Z98" s="166"/>
      <c r="AA98" s="167"/>
      <c r="AB98" s="44"/>
      <c r="AC98" s="134"/>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4"/>
      <c r="BA98" s="134"/>
      <c r="BB98" s="134"/>
      <c r="BC98" s="134"/>
      <c r="BD98" s="134"/>
      <c r="BE98" s="134"/>
      <c r="BF98" s="134"/>
      <c r="BG98" s="134"/>
      <c r="BH98" s="134"/>
      <c r="BI98" s="134"/>
      <c r="BJ98" s="134"/>
      <c r="BK98" s="134"/>
      <c r="BL98" s="134"/>
      <c r="BM98" s="134"/>
      <c r="BN98" s="134"/>
      <c r="BO98" s="134"/>
      <c r="BP98" s="134"/>
      <c r="BQ98" s="134"/>
    </row>
    <row r="99" customHeight="1" spans="1:69">
      <c r="A99" s="44"/>
      <c r="B99" s="126" t="s">
        <v>166</v>
      </c>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44"/>
      <c r="AC99" s="134"/>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4"/>
      <c r="BA99" s="134"/>
      <c r="BB99" s="134"/>
      <c r="BC99" s="134"/>
      <c r="BD99" s="134"/>
      <c r="BE99" s="134"/>
      <c r="BF99" s="134"/>
      <c r="BG99" s="134"/>
      <c r="BH99" s="134"/>
      <c r="BI99" s="134"/>
      <c r="BJ99" s="134"/>
      <c r="BK99" s="134"/>
      <c r="BL99" s="134"/>
      <c r="BM99" s="134"/>
      <c r="BN99" s="134"/>
      <c r="BO99" s="134"/>
      <c r="BP99" s="134"/>
      <c r="BQ99" s="134"/>
    </row>
    <row r="100" customHeight="1" spans="1:69">
      <c r="A100" s="44"/>
      <c r="B100" s="160" t="s">
        <v>86</v>
      </c>
      <c r="C100" s="160"/>
      <c r="D100" s="160"/>
      <c r="E100" s="160"/>
      <c r="F100" s="160"/>
      <c r="G100" s="161" t="s">
        <v>165</v>
      </c>
      <c r="H100" s="161"/>
      <c r="I100" s="161"/>
      <c r="J100" s="161"/>
      <c r="K100" s="161"/>
      <c r="L100" s="161"/>
      <c r="M100" s="161"/>
      <c r="N100" s="161"/>
      <c r="O100" s="161"/>
      <c r="P100" s="161"/>
      <c r="Q100" s="161"/>
      <c r="R100" s="161"/>
      <c r="S100" s="161"/>
      <c r="T100" s="161"/>
      <c r="U100" s="161"/>
      <c r="V100" s="161"/>
      <c r="W100" s="161"/>
      <c r="X100" s="161"/>
      <c r="Y100" s="161"/>
      <c r="Z100" s="161"/>
      <c r="AA100" s="161"/>
      <c r="AB100" s="44"/>
      <c r="AC100" s="134"/>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4"/>
      <c r="BA100" s="134"/>
      <c r="BB100" s="134"/>
      <c r="BC100" s="134"/>
      <c r="BD100" s="134"/>
      <c r="BE100" s="134"/>
      <c r="BF100" s="134"/>
      <c r="BG100" s="134"/>
      <c r="BH100" s="134"/>
      <c r="BI100" s="134"/>
      <c r="BJ100" s="134"/>
      <c r="BK100" s="134"/>
      <c r="BL100" s="134"/>
      <c r="BM100" s="134"/>
      <c r="BN100" s="134"/>
      <c r="BO100" s="134"/>
      <c r="BP100" s="134"/>
      <c r="BQ100" s="134"/>
    </row>
    <row r="101" customHeight="1" spans="1:69">
      <c r="A101" s="44"/>
      <c r="B101" s="162"/>
      <c r="C101" s="163"/>
      <c r="D101" s="163"/>
      <c r="E101" s="163"/>
      <c r="F101" s="164"/>
      <c r="G101" s="165"/>
      <c r="H101" s="166"/>
      <c r="I101" s="166"/>
      <c r="J101" s="166"/>
      <c r="K101" s="166"/>
      <c r="L101" s="166"/>
      <c r="M101" s="166"/>
      <c r="N101" s="166"/>
      <c r="O101" s="166"/>
      <c r="P101" s="166"/>
      <c r="Q101" s="166"/>
      <c r="R101" s="166"/>
      <c r="S101" s="166"/>
      <c r="T101" s="166"/>
      <c r="U101" s="166"/>
      <c r="V101" s="166"/>
      <c r="W101" s="166"/>
      <c r="X101" s="166"/>
      <c r="Y101" s="166"/>
      <c r="Z101" s="166"/>
      <c r="AA101" s="167"/>
      <c r="AB101" s="44"/>
      <c r="AC101" s="134"/>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4"/>
      <c r="BA101" s="134"/>
      <c r="BB101" s="134"/>
      <c r="BC101" s="134"/>
      <c r="BD101" s="134"/>
      <c r="BE101" s="134"/>
      <c r="BF101" s="134"/>
      <c r="BG101" s="134"/>
      <c r="BH101" s="134"/>
      <c r="BI101" s="134"/>
      <c r="BJ101" s="134"/>
      <c r="BK101" s="134"/>
      <c r="BL101" s="134"/>
      <c r="BM101" s="134"/>
      <c r="BN101" s="134"/>
      <c r="BO101" s="134"/>
      <c r="BP101" s="134"/>
      <c r="BQ101" s="134"/>
    </row>
    <row r="102" customHeight="1" spans="1:69">
      <c r="A102" s="44"/>
      <c r="B102" s="162"/>
      <c r="C102" s="163"/>
      <c r="D102" s="163"/>
      <c r="E102" s="163"/>
      <c r="F102" s="164"/>
      <c r="G102" s="165"/>
      <c r="H102" s="166"/>
      <c r="I102" s="166"/>
      <c r="J102" s="166"/>
      <c r="K102" s="166"/>
      <c r="L102" s="166"/>
      <c r="M102" s="166"/>
      <c r="N102" s="166"/>
      <c r="O102" s="166"/>
      <c r="P102" s="166"/>
      <c r="Q102" s="166"/>
      <c r="R102" s="166"/>
      <c r="S102" s="166"/>
      <c r="T102" s="166"/>
      <c r="U102" s="166"/>
      <c r="V102" s="166"/>
      <c r="W102" s="166"/>
      <c r="X102" s="166"/>
      <c r="Y102" s="166"/>
      <c r="Z102" s="166"/>
      <c r="AA102" s="167"/>
      <c r="AB102" s="44"/>
      <c r="AC102" s="134"/>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4"/>
      <c r="BA102" s="134"/>
      <c r="BB102" s="134"/>
      <c r="BC102" s="134"/>
      <c r="BD102" s="134"/>
      <c r="BE102" s="134"/>
      <c r="BF102" s="134"/>
      <c r="BG102" s="134"/>
      <c r="BH102" s="134"/>
      <c r="BI102" s="134"/>
      <c r="BJ102" s="134"/>
      <c r="BK102" s="134"/>
      <c r="BL102" s="134"/>
      <c r="BM102" s="134"/>
      <c r="BN102" s="134"/>
      <c r="BO102" s="134"/>
      <c r="BP102" s="134"/>
      <c r="BQ102" s="134"/>
    </row>
    <row r="103" customHeight="1" spans="1:69">
      <c r="A103" s="44"/>
      <c r="B103" s="44"/>
      <c r="C103" s="44"/>
      <c r="D103" s="44"/>
      <c r="E103" s="44"/>
      <c r="F103" s="44"/>
      <c r="G103" s="44"/>
      <c r="H103" s="44"/>
      <c r="I103" s="44"/>
      <c r="J103" s="44"/>
      <c r="K103" s="44"/>
      <c r="L103" s="44"/>
      <c r="M103" s="44"/>
      <c r="N103" s="44"/>
      <c r="O103" s="44"/>
      <c r="P103" s="44"/>
      <c r="Q103" s="44"/>
      <c r="R103" s="101"/>
      <c r="S103" s="44"/>
      <c r="T103" s="44"/>
      <c r="U103" s="44"/>
      <c r="V103" s="44"/>
      <c r="W103" s="44"/>
      <c r="X103" s="44"/>
      <c r="Y103" s="44"/>
      <c r="Z103" s="44"/>
      <c r="AA103" s="44"/>
      <c r="AB103" s="44"/>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4"/>
      <c r="BA103" s="134"/>
      <c r="BB103" s="134"/>
      <c r="BC103" s="134"/>
      <c r="BD103" s="134"/>
      <c r="BE103" s="134"/>
      <c r="BF103" s="134"/>
      <c r="BG103" s="134"/>
      <c r="BH103" s="134"/>
      <c r="BI103" s="134"/>
      <c r="BJ103" s="134"/>
      <c r="BK103" s="134"/>
      <c r="BL103" s="134"/>
      <c r="BM103" s="134"/>
      <c r="BN103" s="134"/>
      <c r="BO103" s="134"/>
      <c r="BP103" s="134"/>
      <c r="BQ103" s="134"/>
    </row>
    <row r="104" customHeight="1" spans="1:69">
      <c r="A104" s="44"/>
      <c r="B104" s="126" t="s">
        <v>167</v>
      </c>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44"/>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4"/>
      <c r="BA104" s="134"/>
      <c r="BB104" s="134"/>
      <c r="BC104" s="134"/>
      <c r="BD104" s="134"/>
      <c r="BE104" s="134"/>
      <c r="BF104" s="134"/>
      <c r="BG104" s="134"/>
      <c r="BH104" s="134"/>
      <c r="BI104" s="134"/>
      <c r="BJ104" s="134"/>
      <c r="BK104" s="134"/>
      <c r="BL104" s="134"/>
      <c r="BM104" s="134"/>
      <c r="BN104" s="134"/>
      <c r="BO104" s="134"/>
      <c r="BP104" s="134"/>
      <c r="BQ104" s="134"/>
    </row>
    <row r="105" customHeight="1" spans="1:69">
      <c r="A105" s="44"/>
      <c r="B105" s="147" t="s">
        <v>168</v>
      </c>
      <c r="C105" s="147" t="s">
        <v>86</v>
      </c>
      <c r="D105" s="147"/>
      <c r="E105" s="147"/>
      <c r="F105" s="147"/>
      <c r="G105" s="147"/>
      <c r="H105" s="125" t="s">
        <v>92</v>
      </c>
      <c r="I105" s="125" t="s">
        <v>169</v>
      </c>
      <c r="J105" s="125"/>
      <c r="K105" s="125"/>
      <c r="L105" s="125"/>
      <c r="M105" s="125"/>
      <c r="N105" s="125"/>
      <c r="O105" s="125"/>
      <c r="P105" s="125"/>
      <c r="Q105" s="125"/>
      <c r="R105" s="125"/>
      <c r="S105" s="125"/>
      <c r="T105" s="125"/>
      <c r="U105" s="125"/>
      <c r="V105" s="125"/>
      <c r="W105" s="125"/>
      <c r="X105" s="125"/>
      <c r="Y105" s="125"/>
      <c r="Z105" s="125"/>
      <c r="AA105" s="125"/>
      <c r="AB105" s="44"/>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4"/>
      <c r="BA105" s="134"/>
      <c r="BB105" s="134"/>
      <c r="BC105" s="134"/>
      <c r="BD105" s="134"/>
      <c r="BE105" s="134"/>
      <c r="BF105" s="134"/>
      <c r="BG105" s="134"/>
      <c r="BH105" s="134"/>
      <c r="BI105" s="134"/>
      <c r="BJ105" s="134"/>
      <c r="BK105" s="134"/>
      <c r="BL105" s="134"/>
      <c r="BM105" s="134"/>
      <c r="BN105" s="134"/>
      <c r="BO105" s="134"/>
      <c r="BP105" s="134"/>
      <c r="BQ105" s="134"/>
    </row>
    <row r="106" customHeight="1" spans="1:69">
      <c r="A106" s="44"/>
      <c r="B106" s="147"/>
      <c r="C106" s="131"/>
      <c r="D106" s="131"/>
      <c r="E106" s="131"/>
      <c r="F106" s="131"/>
      <c r="G106" s="131"/>
      <c r="H106" s="128"/>
      <c r="I106" s="168"/>
      <c r="J106" s="168"/>
      <c r="K106" s="168"/>
      <c r="L106" s="168"/>
      <c r="M106" s="168"/>
      <c r="N106" s="168"/>
      <c r="O106" s="168"/>
      <c r="P106" s="168"/>
      <c r="Q106" s="168"/>
      <c r="R106" s="168"/>
      <c r="S106" s="168"/>
      <c r="T106" s="168"/>
      <c r="U106" s="168"/>
      <c r="V106" s="168"/>
      <c r="W106" s="168"/>
      <c r="X106" s="168"/>
      <c r="Y106" s="168"/>
      <c r="Z106" s="168"/>
      <c r="AA106" s="168"/>
      <c r="AB106" s="44"/>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4"/>
      <c r="BA106" s="134"/>
      <c r="BB106" s="134"/>
      <c r="BC106" s="134"/>
      <c r="BD106" s="134"/>
      <c r="BE106" s="134"/>
      <c r="BF106" s="134"/>
      <c r="BG106" s="134"/>
      <c r="BH106" s="134"/>
      <c r="BI106" s="134"/>
      <c r="BJ106" s="134"/>
      <c r="BK106" s="134"/>
      <c r="BL106" s="134"/>
      <c r="BM106" s="134"/>
      <c r="BN106" s="134"/>
      <c r="BO106" s="134"/>
      <c r="BP106" s="134"/>
      <c r="BQ106" s="134"/>
    </row>
    <row r="107" customHeight="1" spans="1:69">
      <c r="A107" s="44"/>
      <c r="B107" s="147"/>
      <c r="C107" s="131"/>
      <c r="D107" s="131"/>
      <c r="E107" s="131"/>
      <c r="F107" s="131"/>
      <c r="G107" s="131"/>
      <c r="H107" s="128"/>
      <c r="I107" s="168"/>
      <c r="J107" s="168"/>
      <c r="K107" s="168"/>
      <c r="L107" s="168"/>
      <c r="M107" s="168"/>
      <c r="N107" s="168"/>
      <c r="O107" s="168"/>
      <c r="P107" s="168"/>
      <c r="Q107" s="168"/>
      <c r="R107" s="168"/>
      <c r="S107" s="168"/>
      <c r="T107" s="168"/>
      <c r="U107" s="168"/>
      <c r="V107" s="168"/>
      <c r="W107" s="168"/>
      <c r="X107" s="168"/>
      <c r="Y107" s="168"/>
      <c r="Z107" s="168"/>
      <c r="AA107" s="168"/>
      <c r="AB107" s="44"/>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4"/>
      <c r="BA107" s="134"/>
      <c r="BB107" s="134"/>
      <c r="BC107" s="134"/>
      <c r="BD107" s="134"/>
      <c r="BE107" s="134"/>
      <c r="BF107" s="134"/>
      <c r="BG107" s="134"/>
      <c r="BH107" s="134"/>
      <c r="BI107" s="134"/>
      <c r="BJ107" s="134"/>
      <c r="BK107" s="134"/>
      <c r="BL107" s="134"/>
      <c r="BM107" s="134"/>
      <c r="BN107" s="134"/>
      <c r="BO107" s="134"/>
      <c r="BP107" s="134"/>
      <c r="BQ107" s="134"/>
    </row>
    <row r="108" customHeight="1" spans="1:69">
      <c r="A108" s="44"/>
      <c r="B108" s="147"/>
      <c r="C108" s="131"/>
      <c r="D108" s="131"/>
      <c r="E108" s="131"/>
      <c r="F108" s="131"/>
      <c r="G108" s="131"/>
      <c r="H108" s="128"/>
      <c r="I108" s="168"/>
      <c r="J108" s="168"/>
      <c r="K108" s="168"/>
      <c r="L108" s="168"/>
      <c r="M108" s="168"/>
      <c r="N108" s="168"/>
      <c r="O108" s="168"/>
      <c r="P108" s="168"/>
      <c r="Q108" s="168"/>
      <c r="R108" s="168"/>
      <c r="S108" s="168"/>
      <c r="T108" s="168"/>
      <c r="U108" s="168"/>
      <c r="V108" s="168"/>
      <c r="W108" s="168"/>
      <c r="X108" s="168"/>
      <c r="Y108" s="168"/>
      <c r="Z108" s="168"/>
      <c r="AA108" s="168"/>
      <c r="AB108" s="44"/>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4"/>
      <c r="BA108" s="134"/>
      <c r="BB108" s="134"/>
      <c r="BC108" s="134"/>
      <c r="BD108" s="134"/>
      <c r="BE108" s="134"/>
      <c r="BF108" s="134"/>
      <c r="BG108" s="134"/>
      <c r="BH108" s="134"/>
      <c r="BI108" s="134"/>
      <c r="BJ108" s="134"/>
      <c r="BK108" s="134"/>
      <c r="BL108" s="134"/>
      <c r="BM108" s="134"/>
      <c r="BN108" s="134"/>
      <c r="BO108" s="134"/>
      <c r="BP108" s="134"/>
      <c r="BQ108" s="134"/>
    </row>
    <row r="109" customHeight="1" spans="1:69">
      <c r="A109" s="44"/>
      <c r="B109" s="147"/>
      <c r="C109" s="131"/>
      <c r="D109" s="131"/>
      <c r="E109" s="131"/>
      <c r="F109" s="131"/>
      <c r="G109" s="131"/>
      <c r="H109" s="128"/>
      <c r="I109" s="168"/>
      <c r="J109" s="168"/>
      <c r="K109" s="168"/>
      <c r="L109" s="168"/>
      <c r="M109" s="168"/>
      <c r="N109" s="168"/>
      <c r="O109" s="168"/>
      <c r="P109" s="168"/>
      <c r="Q109" s="168"/>
      <c r="R109" s="168"/>
      <c r="S109" s="168"/>
      <c r="T109" s="168"/>
      <c r="U109" s="168"/>
      <c r="V109" s="168"/>
      <c r="W109" s="168"/>
      <c r="X109" s="168"/>
      <c r="Y109" s="168"/>
      <c r="Z109" s="168"/>
      <c r="AA109" s="168"/>
      <c r="AB109" s="44"/>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4"/>
      <c r="BA109" s="134"/>
      <c r="BB109" s="134"/>
      <c r="BC109" s="134"/>
      <c r="BD109" s="134"/>
      <c r="BE109" s="134"/>
      <c r="BF109" s="134"/>
      <c r="BG109" s="134"/>
      <c r="BH109" s="134"/>
      <c r="BI109" s="134"/>
      <c r="BJ109" s="134"/>
      <c r="BK109" s="134"/>
      <c r="BL109" s="134"/>
      <c r="BM109" s="134"/>
      <c r="BN109" s="134"/>
      <c r="BO109" s="134"/>
      <c r="BP109" s="134"/>
      <c r="BQ109" s="134"/>
    </row>
    <row r="110" customHeight="1" spans="1:69">
      <c r="A110" s="44"/>
      <c r="B110" s="147"/>
      <c r="C110" s="131"/>
      <c r="D110" s="131"/>
      <c r="E110" s="131"/>
      <c r="F110" s="131"/>
      <c r="G110" s="131"/>
      <c r="H110" s="128"/>
      <c r="I110" s="168"/>
      <c r="J110" s="168"/>
      <c r="K110" s="168"/>
      <c r="L110" s="168"/>
      <c r="M110" s="168"/>
      <c r="N110" s="168"/>
      <c r="O110" s="168"/>
      <c r="P110" s="168"/>
      <c r="Q110" s="168"/>
      <c r="R110" s="168"/>
      <c r="S110" s="168"/>
      <c r="T110" s="168"/>
      <c r="U110" s="168"/>
      <c r="V110" s="168"/>
      <c r="W110" s="168"/>
      <c r="X110" s="168"/>
      <c r="Y110" s="168"/>
      <c r="Z110" s="168"/>
      <c r="AA110" s="168"/>
      <c r="AB110" s="44"/>
      <c r="AD110" s="137"/>
      <c r="AE110" s="137"/>
      <c r="AF110" s="137"/>
      <c r="AG110" s="137"/>
      <c r="AH110" s="137"/>
      <c r="AI110" s="137"/>
      <c r="AJ110" s="137"/>
      <c r="AK110" s="137"/>
      <c r="AL110" s="137"/>
      <c r="AM110" s="137"/>
      <c r="AN110" s="137"/>
      <c r="AO110" s="137"/>
      <c r="AP110" s="137"/>
      <c r="AQ110" s="137"/>
      <c r="AR110" s="137"/>
      <c r="AS110" s="137"/>
      <c r="AT110" s="137"/>
      <c r="AU110" s="137"/>
      <c r="AV110" s="137"/>
      <c r="AW110" s="137"/>
      <c r="AX110" s="137"/>
      <c r="AY110" s="137"/>
      <c r="AZ110" s="134"/>
      <c r="BA110" s="134"/>
      <c r="BB110" s="134"/>
      <c r="BC110" s="134"/>
      <c r="BD110" s="134"/>
      <c r="BE110" s="134"/>
      <c r="BF110" s="134"/>
      <c r="BG110" s="134"/>
      <c r="BH110" s="134"/>
      <c r="BI110" s="134"/>
      <c r="BJ110" s="134"/>
      <c r="BK110" s="134"/>
      <c r="BL110" s="134"/>
      <c r="BM110" s="134"/>
      <c r="BN110" s="134"/>
      <c r="BO110" s="134"/>
      <c r="BP110" s="134"/>
      <c r="BQ110" s="134"/>
    </row>
    <row r="111" customHeight="1" spans="1:69">
      <c r="A111" s="44"/>
      <c r="B111" s="147"/>
      <c r="C111" s="131"/>
      <c r="D111" s="131"/>
      <c r="E111" s="131"/>
      <c r="F111" s="131"/>
      <c r="G111" s="131"/>
      <c r="H111" s="128"/>
      <c r="I111" s="169"/>
      <c r="J111" s="169"/>
      <c r="K111" s="169"/>
      <c r="L111" s="169"/>
      <c r="M111" s="169"/>
      <c r="N111" s="169"/>
      <c r="O111" s="169"/>
      <c r="P111" s="169"/>
      <c r="Q111" s="169"/>
      <c r="R111" s="169"/>
      <c r="S111" s="169"/>
      <c r="T111" s="169"/>
      <c r="U111" s="169"/>
      <c r="V111" s="169"/>
      <c r="W111" s="169"/>
      <c r="X111" s="169"/>
      <c r="Y111" s="169"/>
      <c r="Z111" s="169"/>
      <c r="AA111" s="169"/>
      <c r="AB111" s="44"/>
      <c r="AD111" s="137"/>
      <c r="AE111" s="137"/>
      <c r="AF111" s="137"/>
      <c r="AG111" s="137"/>
      <c r="AH111" s="137"/>
      <c r="AI111" s="137"/>
      <c r="AJ111" s="137"/>
      <c r="AK111" s="137"/>
      <c r="AL111" s="137"/>
      <c r="AM111" s="137"/>
      <c r="AN111" s="137"/>
      <c r="AO111" s="137"/>
      <c r="AP111" s="137"/>
      <c r="AQ111" s="137"/>
      <c r="AR111" s="137"/>
      <c r="AS111" s="137"/>
      <c r="AT111" s="137"/>
      <c r="AU111" s="137"/>
      <c r="AV111" s="137"/>
      <c r="AW111" s="137"/>
      <c r="AX111" s="137"/>
      <c r="AY111" s="137"/>
      <c r="AZ111" s="134"/>
      <c r="BA111" s="134"/>
      <c r="BB111" s="134"/>
      <c r="BC111" s="134"/>
      <c r="BD111" s="134"/>
      <c r="BE111" s="134"/>
      <c r="BF111" s="134"/>
      <c r="BG111" s="134"/>
      <c r="BH111" s="134"/>
      <c r="BI111" s="134"/>
      <c r="BJ111" s="134"/>
      <c r="BK111" s="134"/>
      <c r="BL111" s="134"/>
      <c r="BM111" s="134"/>
      <c r="BN111" s="134"/>
      <c r="BO111" s="134"/>
      <c r="BP111" s="134"/>
      <c r="BQ111" s="134"/>
    </row>
    <row r="112" customHeight="1" spans="1:69">
      <c r="A112" s="44"/>
      <c r="B112" s="118" t="s">
        <v>170</v>
      </c>
      <c r="C112" s="131"/>
      <c r="D112" s="131"/>
      <c r="E112" s="131"/>
      <c r="F112" s="131"/>
      <c r="G112" s="131"/>
      <c r="H112" s="128"/>
      <c r="I112" s="168"/>
      <c r="J112" s="168"/>
      <c r="K112" s="168"/>
      <c r="L112" s="168"/>
      <c r="M112" s="168"/>
      <c r="N112" s="168"/>
      <c r="O112" s="168"/>
      <c r="P112" s="168"/>
      <c r="Q112" s="168"/>
      <c r="R112" s="168"/>
      <c r="S112" s="168"/>
      <c r="T112" s="168"/>
      <c r="U112" s="168"/>
      <c r="V112" s="168"/>
      <c r="W112" s="168"/>
      <c r="X112" s="168"/>
      <c r="Y112" s="168"/>
      <c r="Z112" s="168"/>
      <c r="AA112" s="168"/>
      <c r="AB112" s="44"/>
      <c r="AD112" s="137"/>
      <c r="AE112" s="137"/>
      <c r="AF112" s="137"/>
      <c r="AG112" s="137"/>
      <c r="AH112" s="137"/>
      <c r="AI112" s="137"/>
      <c r="AJ112" s="137"/>
      <c r="AK112" s="137"/>
      <c r="AL112" s="137"/>
      <c r="AM112" s="137"/>
      <c r="AN112" s="137"/>
      <c r="AO112" s="137"/>
      <c r="AP112" s="137"/>
      <c r="AQ112" s="137"/>
      <c r="AR112" s="137"/>
      <c r="AS112" s="137"/>
      <c r="AT112" s="137"/>
      <c r="AU112" s="137"/>
      <c r="AV112" s="137"/>
      <c r="AW112" s="137"/>
      <c r="AX112" s="137"/>
      <c r="AY112" s="137"/>
      <c r="AZ112" s="134"/>
      <c r="BA112" s="134"/>
      <c r="BB112" s="134"/>
      <c r="BC112" s="134"/>
      <c r="BD112" s="134"/>
      <c r="BE112" s="134"/>
      <c r="BF112" s="134"/>
      <c r="BG112" s="134"/>
      <c r="BH112" s="134"/>
      <c r="BI112" s="134"/>
      <c r="BJ112" s="134"/>
      <c r="BK112" s="134"/>
      <c r="BL112" s="134"/>
      <c r="BM112" s="134"/>
      <c r="BN112" s="134"/>
      <c r="BO112" s="134"/>
      <c r="BP112" s="134"/>
      <c r="BQ112" s="134"/>
    </row>
    <row r="113" customHeight="1" spans="1:51">
      <c r="A113" s="44"/>
      <c r="B113" s="118"/>
      <c r="C113" s="131"/>
      <c r="D113" s="131"/>
      <c r="E113" s="131"/>
      <c r="F113" s="131"/>
      <c r="G113" s="131"/>
      <c r="H113" s="128"/>
      <c r="I113" s="168"/>
      <c r="J113" s="168"/>
      <c r="K113" s="168"/>
      <c r="L113" s="168"/>
      <c r="M113" s="168"/>
      <c r="N113" s="168"/>
      <c r="O113" s="168"/>
      <c r="P113" s="168"/>
      <c r="Q113" s="168"/>
      <c r="R113" s="168"/>
      <c r="S113" s="168"/>
      <c r="T113" s="168"/>
      <c r="U113" s="168"/>
      <c r="V113" s="168"/>
      <c r="W113" s="168"/>
      <c r="X113" s="168"/>
      <c r="Y113" s="168"/>
      <c r="Z113" s="168"/>
      <c r="AA113" s="168"/>
      <c r="AB113" s="44"/>
      <c r="AD113" s="137"/>
      <c r="AE113" s="137"/>
      <c r="AF113" s="137"/>
      <c r="AG113" s="137"/>
      <c r="AH113" s="137"/>
      <c r="AI113" s="137"/>
      <c r="AJ113" s="137"/>
      <c r="AK113" s="137"/>
      <c r="AL113" s="137"/>
      <c r="AM113" s="137"/>
      <c r="AN113" s="137"/>
      <c r="AO113" s="137"/>
      <c r="AP113" s="137"/>
      <c r="AQ113" s="137"/>
      <c r="AR113" s="137"/>
      <c r="AS113" s="137"/>
      <c r="AT113" s="137"/>
      <c r="AU113" s="137"/>
      <c r="AV113" s="137"/>
      <c r="AW113" s="137"/>
      <c r="AX113" s="137"/>
      <c r="AY113" s="137"/>
    </row>
    <row r="114" customHeight="1" spans="1:51">
      <c r="A114" s="44"/>
      <c r="B114" s="118"/>
      <c r="C114" s="131"/>
      <c r="D114" s="131"/>
      <c r="E114" s="131"/>
      <c r="F114" s="131"/>
      <c r="G114" s="131"/>
      <c r="H114" s="128"/>
      <c r="I114" s="168"/>
      <c r="J114" s="168"/>
      <c r="K114" s="168"/>
      <c r="L114" s="168"/>
      <c r="M114" s="168"/>
      <c r="N114" s="168"/>
      <c r="O114" s="168"/>
      <c r="P114" s="168"/>
      <c r="Q114" s="168"/>
      <c r="R114" s="168"/>
      <c r="S114" s="168"/>
      <c r="T114" s="168"/>
      <c r="U114" s="168"/>
      <c r="V114" s="168"/>
      <c r="W114" s="168"/>
      <c r="X114" s="168"/>
      <c r="Y114" s="168"/>
      <c r="Z114" s="168"/>
      <c r="AA114" s="168"/>
      <c r="AB114" s="44"/>
      <c r="AD114" s="137"/>
      <c r="AE114" s="137"/>
      <c r="AF114" s="137"/>
      <c r="AG114" s="137"/>
      <c r="AH114" s="137"/>
      <c r="AI114" s="137"/>
      <c r="AJ114" s="137"/>
      <c r="AK114" s="137"/>
      <c r="AL114" s="137"/>
      <c r="AM114" s="137"/>
      <c r="AN114" s="137"/>
      <c r="AO114" s="137"/>
      <c r="AP114" s="137"/>
      <c r="AQ114" s="137"/>
      <c r="AR114" s="137"/>
      <c r="AS114" s="137"/>
      <c r="AT114" s="137"/>
      <c r="AU114" s="137"/>
      <c r="AV114" s="137"/>
      <c r="AW114" s="137"/>
      <c r="AX114" s="137"/>
      <c r="AY114" s="137"/>
    </row>
    <row r="115" customHeight="1" spans="1:51">
      <c r="A115" s="44"/>
      <c r="B115" s="118"/>
      <c r="C115" s="131"/>
      <c r="D115" s="131"/>
      <c r="E115" s="131"/>
      <c r="F115" s="131"/>
      <c r="G115" s="131"/>
      <c r="H115" s="128"/>
      <c r="I115" s="168"/>
      <c r="J115" s="168"/>
      <c r="K115" s="168"/>
      <c r="L115" s="168"/>
      <c r="M115" s="168"/>
      <c r="N115" s="168"/>
      <c r="O115" s="168"/>
      <c r="P115" s="168"/>
      <c r="Q115" s="168"/>
      <c r="R115" s="168"/>
      <c r="S115" s="168"/>
      <c r="T115" s="168"/>
      <c r="U115" s="168"/>
      <c r="V115" s="168"/>
      <c r="W115" s="168"/>
      <c r="X115" s="168"/>
      <c r="Y115" s="168"/>
      <c r="Z115" s="168"/>
      <c r="AA115" s="168"/>
      <c r="AB115" s="44"/>
      <c r="AD115" s="137"/>
      <c r="AE115" s="137"/>
      <c r="AF115" s="137"/>
      <c r="AG115" s="137"/>
      <c r="AH115" s="137"/>
      <c r="AI115" s="137"/>
      <c r="AJ115" s="137"/>
      <c r="AK115" s="137"/>
      <c r="AL115" s="137"/>
      <c r="AM115" s="137"/>
      <c r="AN115" s="137"/>
      <c r="AO115" s="137"/>
      <c r="AP115" s="137"/>
      <c r="AQ115" s="137"/>
      <c r="AR115" s="137"/>
      <c r="AS115" s="137"/>
      <c r="AT115" s="137"/>
      <c r="AU115" s="137"/>
      <c r="AV115" s="137"/>
      <c r="AW115" s="137"/>
      <c r="AX115" s="137"/>
      <c r="AY115" s="137"/>
    </row>
    <row r="116" customHeight="1" spans="1:51">
      <c r="A116" s="44"/>
      <c r="B116" s="118" t="s">
        <v>171</v>
      </c>
      <c r="C116" s="131"/>
      <c r="D116" s="131"/>
      <c r="E116" s="131"/>
      <c r="F116" s="131"/>
      <c r="G116" s="131"/>
      <c r="H116" s="128"/>
      <c r="I116" s="168"/>
      <c r="J116" s="168"/>
      <c r="K116" s="168"/>
      <c r="L116" s="168"/>
      <c r="M116" s="168"/>
      <c r="N116" s="168"/>
      <c r="O116" s="168"/>
      <c r="P116" s="168"/>
      <c r="Q116" s="168"/>
      <c r="R116" s="168"/>
      <c r="S116" s="168"/>
      <c r="T116" s="168"/>
      <c r="U116" s="168"/>
      <c r="V116" s="168"/>
      <c r="W116" s="168"/>
      <c r="X116" s="168"/>
      <c r="Y116" s="168"/>
      <c r="Z116" s="168"/>
      <c r="AA116" s="168"/>
      <c r="AB116" s="44"/>
      <c r="AD116" s="137"/>
      <c r="AE116" s="137"/>
      <c r="AF116" s="137"/>
      <c r="AG116" s="137"/>
      <c r="AH116" s="137"/>
      <c r="AI116" s="137"/>
      <c r="AJ116" s="137"/>
      <c r="AK116" s="137"/>
      <c r="AL116" s="137"/>
      <c r="AM116" s="137"/>
      <c r="AN116" s="137"/>
      <c r="AO116" s="137"/>
      <c r="AP116" s="137"/>
      <c r="AQ116" s="137"/>
      <c r="AR116" s="137"/>
      <c r="AS116" s="137"/>
      <c r="AT116" s="137"/>
      <c r="AU116" s="137"/>
      <c r="AV116" s="137"/>
      <c r="AW116" s="137"/>
      <c r="AX116" s="137"/>
      <c r="AY116" s="137"/>
    </row>
    <row r="117" customHeight="1" spans="1:51">
      <c r="A117" s="44"/>
      <c r="B117" s="118"/>
      <c r="C117" s="131"/>
      <c r="D117" s="131"/>
      <c r="E117" s="131"/>
      <c r="F117" s="131"/>
      <c r="G117" s="131"/>
      <c r="H117" s="128"/>
      <c r="I117" s="169"/>
      <c r="J117" s="169"/>
      <c r="K117" s="169"/>
      <c r="L117" s="169"/>
      <c r="M117" s="169"/>
      <c r="N117" s="169"/>
      <c r="O117" s="169"/>
      <c r="P117" s="169"/>
      <c r="Q117" s="169"/>
      <c r="R117" s="169"/>
      <c r="S117" s="169"/>
      <c r="T117" s="169"/>
      <c r="U117" s="169"/>
      <c r="V117" s="169"/>
      <c r="W117" s="169"/>
      <c r="X117" s="169"/>
      <c r="Y117" s="169"/>
      <c r="Z117" s="169"/>
      <c r="AA117" s="169"/>
      <c r="AB117" s="44"/>
      <c r="AD117" s="137"/>
      <c r="AE117" s="137"/>
      <c r="AF117" s="137"/>
      <c r="AG117" s="137"/>
      <c r="AH117" s="137"/>
      <c r="AI117" s="137"/>
      <c r="AJ117" s="137"/>
      <c r="AK117" s="137"/>
      <c r="AL117" s="137"/>
      <c r="AM117" s="137"/>
      <c r="AN117" s="137"/>
      <c r="AO117" s="137"/>
      <c r="AP117" s="137"/>
      <c r="AQ117" s="137"/>
      <c r="AR117" s="137"/>
      <c r="AS117" s="137"/>
      <c r="AT117" s="137"/>
      <c r="AU117" s="137"/>
      <c r="AV117" s="137"/>
      <c r="AW117" s="137"/>
      <c r="AX117" s="137"/>
      <c r="AY117" s="137"/>
    </row>
    <row r="118" customHeight="1" spans="1:51">
      <c r="A118" s="44"/>
      <c r="B118" s="118"/>
      <c r="C118" s="131"/>
      <c r="D118" s="131"/>
      <c r="E118" s="131"/>
      <c r="F118" s="131"/>
      <c r="G118" s="131"/>
      <c r="H118" s="128"/>
      <c r="I118" s="168"/>
      <c r="J118" s="168"/>
      <c r="K118" s="168"/>
      <c r="L118" s="168"/>
      <c r="M118" s="168"/>
      <c r="N118" s="168"/>
      <c r="O118" s="168"/>
      <c r="P118" s="168"/>
      <c r="Q118" s="168"/>
      <c r="R118" s="168"/>
      <c r="S118" s="168"/>
      <c r="T118" s="168"/>
      <c r="U118" s="168"/>
      <c r="V118" s="168"/>
      <c r="W118" s="168"/>
      <c r="X118" s="168"/>
      <c r="Y118" s="168"/>
      <c r="Z118" s="168"/>
      <c r="AA118" s="168"/>
      <c r="AB118" s="44"/>
      <c r="AD118" s="137"/>
      <c r="AE118" s="137"/>
      <c r="AF118" s="137"/>
      <c r="AG118" s="137"/>
      <c r="AH118" s="137"/>
      <c r="AI118" s="137"/>
      <c r="AJ118" s="137"/>
      <c r="AK118" s="137"/>
      <c r="AL118" s="137"/>
      <c r="AM118" s="137"/>
      <c r="AN118" s="137"/>
      <c r="AO118" s="137"/>
      <c r="AP118" s="137"/>
      <c r="AQ118" s="137"/>
      <c r="AR118" s="137"/>
      <c r="AS118" s="137"/>
      <c r="AT118" s="137"/>
      <c r="AU118" s="137"/>
      <c r="AV118" s="137"/>
      <c r="AW118" s="137"/>
      <c r="AX118" s="137"/>
      <c r="AY118" s="137"/>
    </row>
    <row r="119" customHeight="1" spans="1:51">
      <c r="A119" s="44"/>
      <c r="B119" s="118"/>
      <c r="C119" s="131"/>
      <c r="D119" s="131"/>
      <c r="E119" s="131"/>
      <c r="F119" s="131"/>
      <c r="G119" s="131"/>
      <c r="H119" s="128"/>
      <c r="I119" s="168"/>
      <c r="J119" s="168"/>
      <c r="K119" s="168"/>
      <c r="L119" s="168"/>
      <c r="M119" s="168"/>
      <c r="N119" s="168"/>
      <c r="O119" s="168"/>
      <c r="P119" s="168"/>
      <c r="Q119" s="168"/>
      <c r="R119" s="168"/>
      <c r="S119" s="168"/>
      <c r="T119" s="168"/>
      <c r="U119" s="168"/>
      <c r="V119" s="168"/>
      <c r="W119" s="168"/>
      <c r="X119" s="168"/>
      <c r="Y119" s="168"/>
      <c r="Z119" s="168"/>
      <c r="AA119" s="168"/>
      <c r="AB119" s="44"/>
      <c r="AD119" s="137"/>
      <c r="AE119" s="137"/>
      <c r="AF119" s="137"/>
      <c r="AG119" s="137"/>
      <c r="AH119" s="137"/>
      <c r="AI119" s="137"/>
      <c r="AJ119" s="137"/>
      <c r="AK119" s="137"/>
      <c r="AL119" s="137"/>
      <c r="AM119" s="137"/>
      <c r="AN119" s="137"/>
      <c r="AO119" s="137"/>
      <c r="AP119" s="137"/>
      <c r="AQ119" s="137"/>
      <c r="AR119" s="137"/>
      <c r="AS119" s="137"/>
      <c r="AT119" s="137"/>
      <c r="AU119" s="137"/>
      <c r="AV119" s="137"/>
      <c r="AW119" s="137"/>
      <c r="AX119" s="137"/>
      <c r="AY119" s="137"/>
    </row>
    <row r="120" customHeight="1" spans="1:51">
      <c r="A120" s="44"/>
      <c r="B120" s="118" t="s">
        <v>172</v>
      </c>
      <c r="C120" s="131"/>
      <c r="D120" s="131"/>
      <c r="E120" s="131"/>
      <c r="F120" s="131"/>
      <c r="G120" s="131"/>
      <c r="H120" s="128"/>
      <c r="I120" s="168"/>
      <c r="J120" s="168"/>
      <c r="K120" s="168"/>
      <c r="L120" s="168"/>
      <c r="M120" s="168"/>
      <c r="N120" s="168"/>
      <c r="O120" s="168"/>
      <c r="P120" s="168"/>
      <c r="Q120" s="168"/>
      <c r="R120" s="168"/>
      <c r="S120" s="168"/>
      <c r="T120" s="168"/>
      <c r="U120" s="168"/>
      <c r="V120" s="168"/>
      <c r="W120" s="168"/>
      <c r="X120" s="168"/>
      <c r="Y120" s="168"/>
      <c r="Z120" s="168"/>
      <c r="AA120" s="168"/>
      <c r="AB120" s="44"/>
      <c r="AD120" s="137"/>
      <c r="AE120" s="137"/>
      <c r="AF120" s="137"/>
      <c r="AG120" s="137"/>
      <c r="AH120" s="137"/>
      <c r="AI120" s="137"/>
      <c r="AJ120" s="137"/>
      <c r="AK120" s="137"/>
      <c r="AL120" s="137"/>
      <c r="AM120" s="137"/>
      <c r="AN120" s="137"/>
      <c r="AO120" s="137"/>
      <c r="AP120" s="137"/>
      <c r="AQ120" s="137"/>
      <c r="AR120" s="137"/>
      <c r="AS120" s="137"/>
      <c r="AT120" s="137"/>
      <c r="AU120" s="137"/>
      <c r="AV120" s="137"/>
      <c r="AW120" s="137"/>
      <c r="AX120" s="137"/>
      <c r="AY120" s="137"/>
    </row>
    <row r="121" customHeight="1" spans="1:51">
      <c r="A121" s="44"/>
      <c r="B121" s="118"/>
      <c r="C121" s="131"/>
      <c r="D121" s="131"/>
      <c r="E121" s="131"/>
      <c r="F121" s="131"/>
      <c r="G121" s="131"/>
      <c r="H121" s="128"/>
      <c r="I121" s="169"/>
      <c r="J121" s="169"/>
      <c r="K121" s="169"/>
      <c r="L121" s="169"/>
      <c r="M121" s="169"/>
      <c r="N121" s="169"/>
      <c r="O121" s="169"/>
      <c r="P121" s="169"/>
      <c r="Q121" s="169"/>
      <c r="R121" s="169"/>
      <c r="S121" s="169"/>
      <c r="T121" s="169"/>
      <c r="U121" s="169"/>
      <c r="V121" s="169"/>
      <c r="W121" s="169"/>
      <c r="X121" s="169"/>
      <c r="Y121" s="169"/>
      <c r="Z121" s="169"/>
      <c r="AA121" s="169"/>
      <c r="AB121" s="44"/>
      <c r="AD121" s="137"/>
      <c r="AE121" s="137"/>
      <c r="AF121" s="137"/>
      <c r="AG121" s="137"/>
      <c r="AH121" s="137"/>
      <c r="AI121" s="137"/>
      <c r="AJ121" s="137"/>
      <c r="AK121" s="137"/>
      <c r="AL121" s="137"/>
      <c r="AM121" s="137"/>
      <c r="AN121" s="137"/>
      <c r="AO121" s="137"/>
      <c r="AP121" s="137"/>
      <c r="AQ121" s="137"/>
      <c r="AR121" s="137"/>
      <c r="AS121" s="137"/>
      <c r="AT121" s="137"/>
      <c r="AU121" s="137"/>
      <c r="AV121" s="137"/>
      <c r="AW121" s="137"/>
      <c r="AX121" s="137"/>
      <c r="AY121" s="137"/>
    </row>
    <row r="122" customHeight="1" spans="1:51">
      <c r="A122" s="44"/>
      <c r="B122" s="118"/>
      <c r="C122" s="131"/>
      <c r="D122" s="131"/>
      <c r="E122" s="131"/>
      <c r="F122" s="131"/>
      <c r="G122" s="131"/>
      <c r="H122" s="128"/>
      <c r="I122" s="169"/>
      <c r="J122" s="169"/>
      <c r="K122" s="169"/>
      <c r="L122" s="169"/>
      <c r="M122" s="169"/>
      <c r="N122" s="169"/>
      <c r="O122" s="169"/>
      <c r="P122" s="169"/>
      <c r="Q122" s="169"/>
      <c r="R122" s="169"/>
      <c r="S122" s="169"/>
      <c r="T122" s="169"/>
      <c r="U122" s="169"/>
      <c r="V122" s="169"/>
      <c r="W122" s="169"/>
      <c r="X122" s="169"/>
      <c r="Y122" s="169"/>
      <c r="Z122" s="169"/>
      <c r="AA122" s="169"/>
      <c r="AB122" s="44"/>
      <c r="AD122" s="137"/>
      <c r="AE122" s="137"/>
      <c r="AF122" s="137"/>
      <c r="AG122" s="137"/>
      <c r="AH122" s="137"/>
      <c r="AI122" s="137"/>
      <c r="AJ122" s="137"/>
      <c r="AK122" s="137"/>
      <c r="AL122" s="137"/>
      <c r="AM122" s="137"/>
      <c r="AN122" s="137"/>
      <c r="AO122" s="137"/>
      <c r="AP122" s="137"/>
      <c r="AQ122" s="137"/>
      <c r="AR122" s="137"/>
      <c r="AS122" s="137"/>
      <c r="AT122" s="137"/>
      <c r="AU122" s="137"/>
      <c r="AV122" s="137"/>
      <c r="AW122" s="137"/>
      <c r="AX122" s="137"/>
      <c r="AY122" s="137"/>
    </row>
    <row r="123" customHeight="1" spans="1:51">
      <c r="A123" s="44"/>
      <c r="B123" s="118"/>
      <c r="C123" s="131"/>
      <c r="D123" s="131"/>
      <c r="E123" s="131"/>
      <c r="F123" s="131"/>
      <c r="G123" s="131"/>
      <c r="H123" s="128"/>
      <c r="I123" s="169"/>
      <c r="J123" s="169"/>
      <c r="K123" s="169"/>
      <c r="L123" s="169"/>
      <c r="M123" s="169"/>
      <c r="N123" s="169"/>
      <c r="O123" s="169"/>
      <c r="P123" s="169"/>
      <c r="Q123" s="169"/>
      <c r="R123" s="169"/>
      <c r="S123" s="169"/>
      <c r="T123" s="169"/>
      <c r="U123" s="169"/>
      <c r="V123" s="169"/>
      <c r="W123" s="169"/>
      <c r="X123" s="169"/>
      <c r="Y123" s="169"/>
      <c r="Z123" s="169"/>
      <c r="AA123" s="169"/>
      <c r="AB123" s="44"/>
      <c r="AD123" s="137"/>
      <c r="AE123" s="137"/>
      <c r="AF123" s="137"/>
      <c r="AG123" s="137"/>
      <c r="AH123" s="137"/>
      <c r="AI123" s="137"/>
      <c r="AJ123" s="137"/>
      <c r="AK123" s="137"/>
      <c r="AL123" s="137"/>
      <c r="AM123" s="137"/>
      <c r="AN123" s="137"/>
      <c r="AO123" s="137"/>
      <c r="AP123" s="137"/>
      <c r="AQ123" s="137"/>
      <c r="AR123" s="137"/>
      <c r="AS123" s="137"/>
      <c r="AT123" s="137"/>
      <c r="AU123" s="137"/>
      <c r="AV123" s="137"/>
      <c r="AW123" s="137"/>
      <c r="AX123" s="137"/>
      <c r="AY123" s="137"/>
    </row>
    <row r="124" customHeight="1" spans="1:51">
      <c r="A124" s="44"/>
      <c r="B124" s="118" t="s">
        <v>173</v>
      </c>
      <c r="C124" s="131"/>
      <c r="D124" s="131"/>
      <c r="E124" s="131"/>
      <c r="F124" s="131"/>
      <c r="G124" s="131"/>
      <c r="H124" s="128"/>
      <c r="I124" s="169"/>
      <c r="J124" s="169"/>
      <c r="K124" s="169"/>
      <c r="L124" s="169"/>
      <c r="M124" s="169"/>
      <c r="N124" s="169"/>
      <c r="O124" s="169"/>
      <c r="P124" s="169"/>
      <c r="Q124" s="169"/>
      <c r="R124" s="169"/>
      <c r="S124" s="169"/>
      <c r="T124" s="169"/>
      <c r="U124" s="169"/>
      <c r="V124" s="169"/>
      <c r="W124" s="169"/>
      <c r="X124" s="169"/>
      <c r="Y124" s="169"/>
      <c r="Z124" s="169"/>
      <c r="AA124" s="169"/>
      <c r="AB124" s="44"/>
      <c r="AD124" s="137"/>
      <c r="AE124" s="137"/>
      <c r="AF124" s="137"/>
      <c r="AG124" s="137"/>
      <c r="AH124" s="137"/>
      <c r="AI124" s="137"/>
      <c r="AJ124" s="137"/>
      <c r="AK124" s="137"/>
      <c r="AL124" s="137"/>
      <c r="AM124" s="137"/>
      <c r="AN124" s="137"/>
      <c r="AO124" s="137"/>
      <c r="AP124" s="137"/>
      <c r="AQ124" s="137"/>
      <c r="AR124" s="137"/>
      <c r="AS124" s="137"/>
      <c r="AT124" s="137"/>
      <c r="AU124" s="137"/>
      <c r="AV124" s="137"/>
      <c r="AW124" s="137"/>
      <c r="AX124" s="137"/>
      <c r="AY124" s="137"/>
    </row>
    <row r="125" customHeight="1" spans="1:51">
      <c r="A125" s="44"/>
      <c r="B125" s="118"/>
      <c r="C125" s="131"/>
      <c r="D125" s="131"/>
      <c r="E125" s="131"/>
      <c r="F125" s="131"/>
      <c r="G125" s="131"/>
      <c r="H125" s="128"/>
      <c r="I125" s="168"/>
      <c r="J125" s="168"/>
      <c r="K125" s="168"/>
      <c r="L125" s="168"/>
      <c r="M125" s="168"/>
      <c r="N125" s="168"/>
      <c r="O125" s="168"/>
      <c r="P125" s="168"/>
      <c r="Q125" s="168"/>
      <c r="R125" s="168"/>
      <c r="S125" s="168"/>
      <c r="T125" s="168"/>
      <c r="U125" s="168"/>
      <c r="V125" s="168"/>
      <c r="W125" s="168"/>
      <c r="X125" s="168"/>
      <c r="Y125" s="168"/>
      <c r="Z125" s="168"/>
      <c r="AA125" s="168"/>
      <c r="AB125" s="44"/>
      <c r="AD125" s="137"/>
      <c r="AE125" s="137"/>
      <c r="AF125" s="137"/>
      <c r="AG125" s="137"/>
      <c r="AH125" s="137"/>
      <c r="AI125" s="137"/>
      <c r="AJ125" s="137"/>
      <c r="AK125" s="137"/>
      <c r="AL125" s="137"/>
      <c r="AM125" s="137"/>
      <c r="AN125" s="137"/>
      <c r="AO125" s="137"/>
      <c r="AP125" s="137"/>
      <c r="AQ125" s="137"/>
      <c r="AR125" s="137"/>
      <c r="AS125" s="137"/>
      <c r="AT125" s="137"/>
      <c r="AU125" s="137"/>
      <c r="AV125" s="137"/>
      <c r="AW125" s="137"/>
      <c r="AX125" s="137"/>
      <c r="AY125" s="137"/>
    </row>
    <row r="126" customHeight="1" spans="1:51">
      <c r="A126" s="44"/>
      <c r="B126" s="118"/>
      <c r="C126" s="131"/>
      <c r="D126" s="131"/>
      <c r="E126" s="131"/>
      <c r="F126" s="131"/>
      <c r="G126" s="131"/>
      <c r="H126" s="93"/>
      <c r="I126" s="168"/>
      <c r="J126" s="168"/>
      <c r="K126" s="168"/>
      <c r="L126" s="168"/>
      <c r="M126" s="168"/>
      <c r="N126" s="168"/>
      <c r="O126" s="168"/>
      <c r="P126" s="168"/>
      <c r="Q126" s="168"/>
      <c r="R126" s="168"/>
      <c r="S126" s="168"/>
      <c r="T126" s="168"/>
      <c r="U126" s="168"/>
      <c r="V126" s="168"/>
      <c r="W126" s="168"/>
      <c r="X126" s="168"/>
      <c r="Y126" s="168"/>
      <c r="Z126" s="168"/>
      <c r="AA126" s="168"/>
      <c r="AB126" s="44"/>
      <c r="AD126" s="137"/>
      <c r="AE126" s="137"/>
      <c r="AF126" s="137"/>
      <c r="AG126" s="137"/>
      <c r="AH126" s="137"/>
      <c r="AI126" s="137"/>
      <c r="AJ126" s="137"/>
      <c r="AK126" s="137"/>
      <c r="AL126" s="137"/>
      <c r="AM126" s="137"/>
      <c r="AN126" s="137"/>
      <c r="AO126" s="137"/>
      <c r="AP126" s="137"/>
      <c r="AQ126" s="137"/>
      <c r="AR126" s="137"/>
      <c r="AS126" s="137"/>
      <c r="AT126" s="137"/>
      <c r="AU126" s="137"/>
      <c r="AV126" s="137"/>
      <c r="AW126" s="137"/>
      <c r="AX126" s="137"/>
      <c r="AY126" s="137"/>
    </row>
    <row r="127" customHeight="1" spans="1:51">
      <c r="A127" s="44"/>
      <c r="B127" s="118"/>
      <c r="C127" s="131"/>
      <c r="D127" s="131"/>
      <c r="E127" s="131"/>
      <c r="F127" s="131"/>
      <c r="G127" s="131"/>
      <c r="H127" s="93"/>
      <c r="I127" s="168"/>
      <c r="J127" s="168"/>
      <c r="K127" s="168"/>
      <c r="L127" s="168"/>
      <c r="M127" s="168"/>
      <c r="N127" s="168"/>
      <c r="O127" s="168"/>
      <c r="P127" s="168"/>
      <c r="Q127" s="168"/>
      <c r="R127" s="168"/>
      <c r="S127" s="168"/>
      <c r="T127" s="168"/>
      <c r="U127" s="168"/>
      <c r="V127" s="168"/>
      <c r="W127" s="168"/>
      <c r="X127" s="168"/>
      <c r="Y127" s="168"/>
      <c r="Z127" s="168"/>
      <c r="AA127" s="168"/>
      <c r="AB127" s="44"/>
    </row>
    <row r="128" customHeight="1" spans="1:51">
      <c r="A128" s="44"/>
      <c r="B128" s="118" t="s">
        <v>174</v>
      </c>
      <c r="C128" s="131"/>
      <c r="D128" s="131"/>
      <c r="E128" s="131"/>
      <c r="F128" s="131"/>
      <c r="G128" s="131"/>
      <c r="H128" s="93"/>
      <c r="I128" s="168"/>
      <c r="J128" s="168"/>
      <c r="K128" s="168"/>
      <c r="L128" s="168"/>
      <c r="M128" s="168"/>
      <c r="N128" s="168"/>
      <c r="O128" s="168"/>
      <c r="P128" s="168"/>
      <c r="Q128" s="168"/>
      <c r="R128" s="168"/>
      <c r="S128" s="168"/>
      <c r="T128" s="168"/>
      <c r="U128" s="168"/>
      <c r="V128" s="168"/>
      <c r="W128" s="168"/>
      <c r="X128" s="168"/>
      <c r="Y128" s="168"/>
      <c r="Z128" s="168"/>
      <c r="AA128" s="168"/>
      <c r="AB128" s="44"/>
    </row>
    <row r="129" customHeight="1" spans="1:28">
      <c r="A129" s="44"/>
      <c r="B129" s="118"/>
      <c r="C129" s="131"/>
      <c r="D129" s="131"/>
      <c r="E129" s="131"/>
      <c r="F129" s="131"/>
      <c r="G129" s="131"/>
      <c r="H129" s="93"/>
      <c r="I129" s="168"/>
      <c r="J129" s="168"/>
      <c r="K129" s="168"/>
      <c r="L129" s="168"/>
      <c r="M129" s="168"/>
      <c r="N129" s="168"/>
      <c r="O129" s="168"/>
      <c r="P129" s="168"/>
      <c r="Q129" s="168"/>
      <c r="R129" s="168"/>
      <c r="S129" s="168"/>
      <c r="T129" s="168"/>
      <c r="U129" s="168"/>
      <c r="V129" s="168"/>
      <c r="W129" s="168"/>
      <c r="X129" s="168"/>
      <c r="Y129" s="168"/>
      <c r="Z129" s="168"/>
      <c r="AA129" s="168"/>
      <c r="AB129" s="44"/>
    </row>
    <row r="130" customHeight="1" spans="1:28">
      <c r="A130" s="44"/>
      <c r="B130" s="118"/>
      <c r="C130" s="131"/>
      <c r="D130" s="131"/>
      <c r="E130" s="131"/>
      <c r="F130" s="131"/>
      <c r="G130" s="131"/>
      <c r="H130" s="93"/>
      <c r="I130" s="168"/>
      <c r="J130" s="168"/>
      <c r="K130" s="168"/>
      <c r="L130" s="168"/>
      <c r="M130" s="168"/>
      <c r="N130" s="168"/>
      <c r="O130" s="168"/>
      <c r="P130" s="168"/>
      <c r="Q130" s="168"/>
      <c r="R130" s="168"/>
      <c r="S130" s="168"/>
      <c r="T130" s="168"/>
      <c r="U130" s="168"/>
      <c r="V130" s="168"/>
      <c r="W130" s="168"/>
      <c r="X130" s="168"/>
      <c r="Y130" s="168"/>
      <c r="Z130" s="168"/>
      <c r="AA130" s="168"/>
      <c r="AB130" s="44"/>
    </row>
    <row r="131" customHeight="1" spans="1:28">
      <c r="A131" s="44"/>
      <c r="B131" s="118"/>
      <c r="C131" s="131"/>
      <c r="D131" s="131"/>
      <c r="E131" s="131"/>
      <c r="F131" s="131"/>
      <c r="G131" s="131"/>
      <c r="H131" s="93"/>
      <c r="I131" s="168"/>
      <c r="J131" s="168"/>
      <c r="K131" s="168"/>
      <c r="L131" s="168"/>
      <c r="M131" s="168"/>
      <c r="N131" s="168"/>
      <c r="O131" s="168"/>
      <c r="P131" s="168"/>
      <c r="Q131" s="168"/>
      <c r="R131" s="168"/>
      <c r="S131" s="168"/>
      <c r="T131" s="168"/>
      <c r="U131" s="168"/>
      <c r="V131" s="168"/>
      <c r="W131" s="168"/>
      <c r="X131" s="168"/>
      <c r="Y131" s="168"/>
      <c r="Z131" s="168"/>
      <c r="AA131" s="168"/>
      <c r="AB131" s="44"/>
    </row>
    <row r="132" customHeight="1" spans="1:28">
      <c r="A132" s="44"/>
      <c r="B132" s="44"/>
      <c r="C132" s="44"/>
      <c r="D132" s="44"/>
      <c r="E132" s="44"/>
      <c r="F132" s="44"/>
      <c r="G132" s="44"/>
      <c r="H132" s="101">
        <f>SUM(H106:H131)</f>
        <v>0</v>
      </c>
      <c r="I132" s="44"/>
      <c r="J132" s="44"/>
      <c r="K132" s="44"/>
      <c r="L132" s="44"/>
      <c r="M132" s="44"/>
      <c r="N132" s="44"/>
      <c r="O132" s="44"/>
      <c r="P132" s="44"/>
      <c r="Q132" s="44"/>
      <c r="R132" s="44"/>
      <c r="S132" s="44"/>
      <c r="T132" s="44"/>
      <c r="U132" s="44"/>
      <c r="V132" s="44"/>
      <c r="W132" s="44"/>
      <c r="X132" s="44"/>
      <c r="Y132" s="44"/>
      <c r="Z132" s="44"/>
      <c r="AA132" s="101"/>
      <c r="AB132" s="44"/>
    </row>
    <row r="133" customHeight="1" spans="1:28">
      <c r="A133" s="44"/>
      <c r="B133" s="126" t="s">
        <v>175</v>
      </c>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44"/>
    </row>
    <row r="134" customHeight="1" spans="1:28">
      <c r="A134" s="44"/>
      <c r="B134" s="170"/>
      <c r="C134" s="170"/>
      <c r="D134" s="170"/>
      <c r="E134" s="170"/>
      <c r="F134" s="170"/>
      <c r="G134" s="170"/>
      <c r="H134" s="170"/>
      <c r="I134" s="170"/>
      <c r="J134" s="170"/>
      <c r="K134" s="170"/>
      <c r="L134" s="170"/>
      <c r="M134" s="170"/>
      <c r="N134" s="170"/>
      <c r="O134" s="170"/>
      <c r="P134" s="170"/>
      <c r="Q134" s="170"/>
      <c r="R134" s="170"/>
      <c r="S134" s="170"/>
      <c r="T134" s="170"/>
      <c r="U134" s="170"/>
      <c r="V134" s="170"/>
      <c r="W134" s="170"/>
      <c r="X134" s="170"/>
      <c r="Y134" s="170"/>
      <c r="Z134" s="170"/>
      <c r="AA134" s="170"/>
      <c r="AB134" s="44"/>
    </row>
    <row r="135" customHeight="1" spans="1:28">
      <c r="A135" s="44"/>
      <c r="B135" s="170"/>
      <c r="C135" s="170"/>
      <c r="D135" s="170"/>
      <c r="E135" s="170"/>
      <c r="F135" s="170"/>
      <c r="G135" s="170"/>
      <c r="H135" s="170"/>
      <c r="I135" s="170"/>
      <c r="J135" s="170"/>
      <c r="K135" s="170"/>
      <c r="L135" s="170"/>
      <c r="M135" s="170"/>
      <c r="N135" s="170"/>
      <c r="O135" s="170"/>
      <c r="P135" s="170"/>
      <c r="Q135" s="170"/>
      <c r="R135" s="170"/>
      <c r="S135" s="170"/>
      <c r="T135" s="170"/>
      <c r="U135" s="170"/>
      <c r="V135" s="170"/>
      <c r="W135" s="170"/>
      <c r="X135" s="170"/>
      <c r="Y135" s="170"/>
      <c r="Z135" s="170"/>
      <c r="AA135" s="170"/>
      <c r="AB135" s="44"/>
    </row>
    <row r="136" customHeight="1" spans="1:28">
      <c r="A136" s="44"/>
      <c r="B136" s="170"/>
      <c r="C136" s="170"/>
      <c r="D136" s="170"/>
      <c r="E136" s="170"/>
      <c r="F136" s="170"/>
      <c r="G136" s="170"/>
      <c r="H136" s="170"/>
      <c r="I136" s="170"/>
      <c r="J136" s="170"/>
      <c r="K136" s="170"/>
      <c r="L136" s="170"/>
      <c r="M136" s="170"/>
      <c r="N136" s="170"/>
      <c r="O136" s="170"/>
      <c r="P136" s="170"/>
      <c r="Q136" s="170"/>
      <c r="R136" s="170"/>
      <c r="S136" s="170"/>
      <c r="T136" s="170"/>
      <c r="U136" s="170"/>
      <c r="V136" s="170"/>
      <c r="W136" s="170"/>
      <c r="X136" s="170"/>
      <c r="Y136" s="170"/>
      <c r="Z136" s="170"/>
      <c r="AA136" s="170"/>
      <c r="AB136" s="44"/>
    </row>
    <row r="137" customHeight="1" spans="1:28">
      <c r="A137" s="44"/>
      <c r="B137" s="170"/>
      <c r="C137" s="170"/>
      <c r="D137" s="170"/>
      <c r="E137" s="170"/>
      <c r="F137" s="170"/>
      <c r="G137" s="170"/>
      <c r="H137" s="170"/>
      <c r="I137" s="170"/>
      <c r="J137" s="170"/>
      <c r="K137" s="170"/>
      <c r="L137" s="170"/>
      <c r="M137" s="170"/>
      <c r="N137" s="170"/>
      <c r="O137" s="170"/>
      <c r="P137" s="170"/>
      <c r="Q137" s="170"/>
      <c r="R137" s="170"/>
      <c r="S137" s="170"/>
      <c r="T137" s="170"/>
      <c r="U137" s="170"/>
      <c r="V137" s="170"/>
      <c r="W137" s="170"/>
      <c r="X137" s="170"/>
      <c r="Y137" s="170"/>
      <c r="Z137" s="170"/>
      <c r="AA137" s="170"/>
      <c r="AB137" s="44"/>
    </row>
    <row r="138" customHeight="1" spans="1:28">
      <c r="A138" s="44"/>
      <c r="B138" s="170"/>
      <c r="C138" s="170"/>
      <c r="D138" s="170"/>
      <c r="E138" s="170"/>
      <c r="F138" s="170"/>
      <c r="G138" s="170"/>
      <c r="H138" s="170"/>
      <c r="I138" s="170"/>
      <c r="J138" s="170"/>
      <c r="K138" s="170"/>
      <c r="L138" s="170"/>
      <c r="M138" s="170"/>
      <c r="N138" s="170"/>
      <c r="O138" s="170"/>
      <c r="P138" s="170"/>
      <c r="Q138" s="170"/>
      <c r="R138" s="170"/>
      <c r="S138" s="170"/>
      <c r="T138" s="170"/>
      <c r="U138" s="170"/>
      <c r="V138" s="170"/>
      <c r="W138" s="170"/>
      <c r="X138" s="170"/>
      <c r="Y138" s="170"/>
      <c r="Z138" s="170"/>
      <c r="AA138" s="170"/>
      <c r="AB138" s="44"/>
    </row>
    <row r="139" customHeight="1" spans="1:28">
      <c r="A139" s="44"/>
      <c r="B139" s="170"/>
      <c r="C139" s="170"/>
      <c r="D139" s="170"/>
      <c r="E139" s="170"/>
      <c r="F139" s="170"/>
      <c r="G139" s="170"/>
      <c r="H139" s="170"/>
      <c r="I139" s="170"/>
      <c r="J139" s="170"/>
      <c r="K139" s="170"/>
      <c r="L139" s="170"/>
      <c r="M139" s="170"/>
      <c r="N139" s="170"/>
      <c r="O139" s="170"/>
      <c r="P139" s="170"/>
      <c r="Q139" s="170"/>
      <c r="R139" s="170"/>
      <c r="S139" s="170"/>
      <c r="T139" s="170"/>
      <c r="U139" s="170"/>
      <c r="V139" s="170"/>
      <c r="W139" s="170"/>
      <c r="X139" s="170"/>
      <c r="Y139" s="170"/>
      <c r="Z139" s="170"/>
      <c r="AA139" s="170"/>
      <c r="AB139" s="44"/>
    </row>
    <row r="140" customHeight="1" spans="1:28">
      <c r="A140" s="44"/>
      <c r="B140" s="170"/>
      <c r="C140" s="170"/>
      <c r="D140" s="170"/>
      <c r="E140" s="170"/>
      <c r="F140" s="170"/>
      <c r="G140" s="170"/>
      <c r="H140" s="170"/>
      <c r="I140" s="170"/>
      <c r="J140" s="170"/>
      <c r="K140" s="170"/>
      <c r="L140" s="170"/>
      <c r="M140" s="170"/>
      <c r="N140" s="170"/>
      <c r="O140" s="170"/>
      <c r="P140" s="170"/>
      <c r="Q140" s="170"/>
      <c r="R140" s="170"/>
      <c r="S140" s="170"/>
      <c r="T140" s="170"/>
      <c r="U140" s="170"/>
      <c r="V140" s="170"/>
      <c r="W140" s="170"/>
      <c r="X140" s="170"/>
      <c r="Y140" s="170"/>
      <c r="Z140" s="170"/>
      <c r="AA140" s="170"/>
      <c r="AB140" s="44"/>
    </row>
    <row r="141" customHeight="1" spans="1:28">
      <c r="A141" s="44"/>
      <c r="B141" s="170"/>
      <c r="C141" s="170"/>
      <c r="D141" s="170"/>
      <c r="E141" s="170"/>
      <c r="F141" s="170"/>
      <c r="G141" s="170"/>
      <c r="H141" s="170"/>
      <c r="I141" s="170"/>
      <c r="J141" s="170"/>
      <c r="K141" s="170"/>
      <c r="L141" s="170"/>
      <c r="M141" s="170"/>
      <c r="N141" s="170"/>
      <c r="O141" s="170"/>
      <c r="P141" s="170"/>
      <c r="Q141" s="170"/>
      <c r="R141" s="170"/>
      <c r="S141" s="170"/>
      <c r="T141" s="170"/>
      <c r="U141" s="170"/>
      <c r="V141" s="170"/>
      <c r="W141" s="170"/>
      <c r="X141" s="170"/>
      <c r="Y141" s="170"/>
      <c r="Z141" s="170"/>
      <c r="AA141" s="170"/>
      <c r="AB141" s="44"/>
    </row>
    <row r="142" customHeight="1" spans="1:28">
      <c r="A142" s="44"/>
      <c r="B142" s="170"/>
      <c r="C142" s="170"/>
      <c r="D142" s="170"/>
      <c r="E142" s="170"/>
      <c r="F142" s="170"/>
      <c r="G142" s="170"/>
      <c r="H142" s="170"/>
      <c r="I142" s="170"/>
      <c r="J142" s="170"/>
      <c r="K142" s="170"/>
      <c r="L142" s="170"/>
      <c r="M142" s="170"/>
      <c r="N142" s="170"/>
      <c r="O142" s="170"/>
      <c r="P142" s="170"/>
      <c r="Q142" s="170"/>
      <c r="R142" s="170"/>
      <c r="S142" s="170"/>
      <c r="T142" s="170"/>
      <c r="U142" s="170"/>
      <c r="V142" s="170"/>
      <c r="W142" s="170"/>
      <c r="X142" s="170"/>
      <c r="Y142" s="170"/>
      <c r="Z142" s="170"/>
      <c r="AA142" s="170"/>
      <c r="AB142" s="44"/>
    </row>
    <row r="143" customHeight="1" spans="1:28">
      <c r="A143" s="44"/>
      <c r="B143" s="170"/>
      <c r="C143" s="170"/>
      <c r="D143" s="170"/>
      <c r="E143" s="170"/>
      <c r="F143" s="170"/>
      <c r="G143" s="170"/>
      <c r="H143" s="170"/>
      <c r="I143" s="170"/>
      <c r="J143" s="170"/>
      <c r="K143" s="170"/>
      <c r="L143" s="170"/>
      <c r="M143" s="170"/>
      <c r="N143" s="170"/>
      <c r="O143" s="170"/>
      <c r="P143" s="170"/>
      <c r="Q143" s="170"/>
      <c r="R143" s="170"/>
      <c r="S143" s="170"/>
      <c r="T143" s="170"/>
      <c r="U143" s="170"/>
      <c r="V143" s="170"/>
      <c r="W143" s="170"/>
      <c r="X143" s="170"/>
      <c r="Y143" s="170"/>
      <c r="Z143" s="170"/>
      <c r="AA143" s="170"/>
      <c r="AB143" s="44"/>
    </row>
    <row r="144" customHeight="1" spans="1:28">
      <c r="A144" s="44"/>
      <c r="B144" s="170"/>
      <c r="C144" s="170"/>
      <c r="D144" s="170"/>
      <c r="E144" s="170"/>
      <c r="F144" s="170"/>
      <c r="G144" s="170"/>
      <c r="H144" s="170"/>
      <c r="I144" s="170"/>
      <c r="J144" s="170"/>
      <c r="K144" s="170"/>
      <c r="L144" s="170"/>
      <c r="M144" s="170"/>
      <c r="N144" s="170"/>
      <c r="O144" s="170"/>
      <c r="P144" s="170"/>
      <c r="Q144" s="170"/>
      <c r="R144" s="170"/>
      <c r="S144" s="170"/>
      <c r="T144" s="170"/>
      <c r="U144" s="170"/>
      <c r="V144" s="170"/>
      <c r="W144" s="170"/>
      <c r="X144" s="170"/>
      <c r="Y144" s="170"/>
      <c r="Z144" s="170"/>
      <c r="AA144" s="170"/>
      <c r="AB144" s="44"/>
    </row>
    <row r="145" customHeight="1" spans="1:28">
      <c r="A145" s="44"/>
      <c r="B145" s="170"/>
      <c r="C145" s="170"/>
      <c r="D145" s="170"/>
      <c r="E145" s="170"/>
      <c r="F145" s="170"/>
      <c r="G145" s="170"/>
      <c r="H145" s="170"/>
      <c r="I145" s="170"/>
      <c r="J145" s="170"/>
      <c r="K145" s="170"/>
      <c r="L145" s="170"/>
      <c r="M145" s="170"/>
      <c r="N145" s="170"/>
      <c r="O145" s="170"/>
      <c r="P145" s="170"/>
      <c r="Q145" s="170"/>
      <c r="R145" s="170"/>
      <c r="S145" s="170"/>
      <c r="T145" s="170"/>
      <c r="U145" s="170"/>
      <c r="V145" s="170"/>
      <c r="W145" s="170"/>
      <c r="X145" s="170"/>
      <c r="Y145" s="170"/>
      <c r="Z145" s="170"/>
      <c r="AA145" s="170"/>
      <c r="AB145" s="44"/>
    </row>
    <row r="146" customHeight="1" spans="1:28">
      <c r="A146" s="44"/>
      <c r="B146" s="170"/>
      <c r="C146" s="170"/>
      <c r="D146" s="170"/>
      <c r="E146" s="170"/>
      <c r="F146" s="170"/>
      <c r="G146" s="170"/>
      <c r="H146" s="170"/>
      <c r="I146" s="170"/>
      <c r="J146" s="170"/>
      <c r="K146" s="170"/>
      <c r="L146" s="170"/>
      <c r="M146" s="170"/>
      <c r="N146" s="170"/>
      <c r="O146" s="170"/>
      <c r="P146" s="170"/>
      <c r="Q146" s="170"/>
      <c r="R146" s="170"/>
      <c r="S146" s="170"/>
      <c r="T146" s="170"/>
      <c r="U146" s="170"/>
      <c r="V146" s="170"/>
      <c r="W146" s="170"/>
      <c r="X146" s="170"/>
      <c r="Y146" s="170"/>
      <c r="Z146" s="170"/>
      <c r="AA146" s="170"/>
      <c r="AB146" s="44"/>
    </row>
    <row r="147" customHeight="1" spans="1:28">
      <c r="A147" s="44"/>
      <c r="B147" s="170"/>
      <c r="C147" s="170"/>
      <c r="D147" s="170"/>
      <c r="E147" s="170"/>
      <c r="F147" s="170"/>
      <c r="G147" s="170"/>
      <c r="H147" s="170"/>
      <c r="I147" s="170"/>
      <c r="J147" s="170"/>
      <c r="K147" s="170"/>
      <c r="L147" s="170"/>
      <c r="M147" s="170"/>
      <c r="N147" s="170"/>
      <c r="O147" s="170"/>
      <c r="P147" s="170"/>
      <c r="Q147" s="170"/>
      <c r="R147" s="170"/>
      <c r="S147" s="170"/>
      <c r="T147" s="170"/>
      <c r="U147" s="170"/>
      <c r="V147" s="170"/>
      <c r="W147" s="170"/>
      <c r="X147" s="170"/>
      <c r="Y147" s="170"/>
      <c r="Z147" s="170"/>
      <c r="AA147" s="170"/>
      <c r="AB147" s="44"/>
    </row>
    <row r="148" customHeight="1" spans="1:28">
      <c r="A148" s="44"/>
      <c r="B148" s="170"/>
      <c r="C148" s="170"/>
      <c r="D148" s="170"/>
      <c r="E148" s="170"/>
      <c r="F148" s="170"/>
      <c r="G148" s="170"/>
      <c r="H148" s="170"/>
      <c r="I148" s="170"/>
      <c r="J148" s="170"/>
      <c r="K148" s="170"/>
      <c r="L148" s="170"/>
      <c r="M148" s="170"/>
      <c r="N148" s="170"/>
      <c r="O148" s="170"/>
      <c r="P148" s="170"/>
      <c r="Q148" s="170"/>
      <c r="R148" s="170"/>
      <c r="S148" s="170"/>
      <c r="T148" s="170"/>
      <c r="U148" s="170"/>
      <c r="V148" s="170"/>
      <c r="W148" s="170"/>
      <c r="X148" s="170"/>
      <c r="Y148" s="170"/>
      <c r="Z148" s="170"/>
      <c r="AA148" s="170"/>
      <c r="AB148" s="44"/>
    </row>
    <row r="149" customHeight="1" spans="1:28">
      <c r="A149" s="44"/>
      <c r="B149" s="170"/>
      <c r="C149" s="170"/>
      <c r="D149" s="170"/>
      <c r="E149" s="170"/>
      <c r="F149" s="170"/>
      <c r="G149" s="170"/>
      <c r="H149" s="170"/>
      <c r="I149" s="170"/>
      <c r="J149" s="170"/>
      <c r="K149" s="170"/>
      <c r="L149" s="170"/>
      <c r="M149" s="170"/>
      <c r="N149" s="170"/>
      <c r="O149" s="170"/>
      <c r="P149" s="170"/>
      <c r="Q149" s="170"/>
      <c r="R149" s="170"/>
      <c r="S149" s="170"/>
      <c r="T149" s="170"/>
      <c r="U149" s="170"/>
      <c r="V149" s="170"/>
      <c r="W149" s="170"/>
      <c r="X149" s="170"/>
      <c r="Y149" s="170"/>
      <c r="Z149" s="170"/>
      <c r="AA149" s="170"/>
      <c r="AB149" s="44"/>
    </row>
    <row r="150" customHeight="1" spans="1:28">
      <c r="A150" s="44"/>
      <c r="B150" s="170"/>
      <c r="C150" s="170"/>
      <c r="D150" s="170"/>
      <c r="E150" s="170"/>
      <c r="F150" s="170"/>
      <c r="G150" s="170"/>
      <c r="H150" s="170"/>
      <c r="I150" s="170"/>
      <c r="J150" s="170"/>
      <c r="K150" s="170"/>
      <c r="L150" s="170"/>
      <c r="M150" s="170"/>
      <c r="N150" s="170"/>
      <c r="O150" s="170"/>
      <c r="P150" s="170"/>
      <c r="Q150" s="170"/>
      <c r="R150" s="170"/>
      <c r="S150" s="170"/>
      <c r="T150" s="170"/>
      <c r="U150" s="170"/>
      <c r="V150" s="170"/>
      <c r="W150" s="170"/>
      <c r="X150" s="170"/>
      <c r="Y150" s="170"/>
      <c r="Z150" s="170"/>
      <c r="AA150" s="170"/>
      <c r="AB150" s="44"/>
    </row>
    <row r="151" customHeight="1" spans="1:28">
      <c r="A151" s="44"/>
      <c r="B151" s="170"/>
      <c r="C151" s="170"/>
      <c r="D151" s="170"/>
      <c r="E151" s="170"/>
      <c r="F151" s="170"/>
      <c r="G151" s="170"/>
      <c r="H151" s="170"/>
      <c r="I151" s="170"/>
      <c r="J151" s="170"/>
      <c r="K151" s="170"/>
      <c r="L151" s="170"/>
      <c r="M151" s="170"/>
      <c r="N151" s="170"/>
      <c r="O151" s="170"/>
      <c r="P151" s="170"/>
      <c r="Q151" s="170"/>
      <c r="R151" s="170"/>
      <c r="S151" s="170"/>
      <c r="T151" s="170"/>
      <c r="U151" s="170"/>
      <c r="V151" s="170"/>
      <c r="W151" s="170"/>
      <c r="X151" s="170"/>
      <c r="Y151" s="170"/>
      <c r="Z151" s="170"/>
      <c r="AA151" s="170"/>
      <c r="AB151" s="44"/>
    </row>
    <row r="152" customHeight="1" spans="1:28">
      <c r="A152" s="44"/>
      <c r="B152" s="170"/>
      <c r="C152" s="170"/>
      <c r="D152" s="170"/>
      <c r="E152" s="170"/>
      <c r="F152" s="170"/>
      <c r="G152" s="170"/>
      <c r="H152" s="170"/>
      <c r="I152" s="170"/>
      <c r="J152" s="170"/>
      <c r="K152" s="170"/>
      <c r="L152" s="170"/>
      <c r="M152" s="170"/>
      <c r="N152" s="170"/>
      <c r="O152" s="170"/>
      <c r="P152" s="170"/>
      <c r="Q152" s="170"/>
      <c r="R152" s="170"/>
      <c r="S152" s="170"/>
      <c r="T152" s="170"/>
      <c r="U152" s="170"/>
      <c r="V152" s="170"/>
      <c r="W152" s="170"/>
      <c r="X152" s="170"/>
      <c r="Y152" s="170"/>
      <c r="Z152" s="170"/>
      <c r="AA152" s="170"/>
      <c r="AB152" s="44"/>
    </row>
    <row r="153" customHeight="1" spans="1:28">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row>
  </sheetData>
  <mergeCells count="399">
    <mergeCell ref="A1:AB1"/>
    <mergeCell ref="B2:C2"/>
    <mergeCell ref="D2:G2"/>
    <mergeCell ref="H2:I2"/>
    <mergeCell ref="J2:R2"/>
    <mergeCell ref="U2:W2"/>
    <mergeCell ref="Z2:AA2"/>
    <mergeCell ref="B3:C3"/>
    <mergeCell ref="D3:G3"/>
    <mergeCell ref="H3:I3"/>
    <mergeCell ref="J3:N3"/>
    <mergeCell ref="U3:V3"/>
    <mergeCell ref="W3:X3"/>
    <mergeCell ref="Z3:AA3"/>
    <mergeCell ref="B4:C4"/>
    <mergeCell ref="D4:G4"/>
    <mergeCell ref="H4:I4"/>
    <mergeCell ref="J4:K4"/>
    <mergeCell ref="N4:O4"/>
    <mergeCell ref="Q4:R4"/>
    <mergeCell ref="U4:V4"/>
    <mergeCell ref="W4:X4"/>
    <mergeCell ref="Z4:AA4"/>
    <mergeCell ref="B6:F6"/>
    <mergeCell ref="I6:J6"/>
    <mergeCell ref="K6:L6"/>
    <mergeCell ref="B7:F7"/>
    <mergeCell ref="I7:J7"/>
    <mergeCell ref="K7:L7"/>
    <mergeCell ref="E9:G9"/>
    <mergeCell ref="I9:K9"/>
    <mergeCell ref="E10:G10"/>
    <mergeCell ref="I10:K10"/>
    <mergeCell ref="B12:C12"/>
    <mergeCell ref="O12:P12"/>
    <mergeCell ref="B13:C13"/>
    <mergeCell ref="B14:C14"/>
    <mergeCell ref="B15:C15"/>
    <mergeCell ref="B16:C16"/>
    <mergeCell ref="B17:C17"/>
    <mergeCell ref="B18:C18"/>
    <mergeCell ref="B19:C19"/>
    <mergeCell ref="B20:C20"/>
    <mergeCell ref="B21:C21"/>
    <mergeCell ref="W22:AA22"/>
    <mergeCell ref="B23:C23"/>
    <mergeCell ref="D23:E23"/>
    <mergeCell ref="F23:G23"/>
    <mergeCell ref="H23:I23"/>
    <mergeCell ref="J23:K23"/>
    <mergeCell ref="L23:M23"/>
    <mergeCell ref="N23:O23"/>
    <mergeCell ref="P23:Q23"/>
    <mergeCell ref="T23:U23"/>
    <mergeCell ref="V23:W23"/>
    <mergeCell ref="X23:Y23"/>
    <mergeCell ref="Z23:AA23"/>
    <mergeCell ref="B24:C24"/>
    <mergeCell ref="D24:E24"/>
    <mergeCell ref="F24:G24"/>
    <mergeCell ref="H24:I24"/>
    <mergeCell ref="J24:K24"/>
    <mergeCell ref="L24:M24"/>
    <mergeCell ref="N24:O24"/>
    <mergeCell ref="P24:Q24"/>
    <mergeCell ref="V24:W24"/>
    <mergeCell ref="X24:Y24"/>
    <mergeCell ref="Z24:AA24"/>
    <mergeCell ref="B25:C25"/>
    <mergeCell ref="D25:E25"/>
    <mergeCell ref="F25:G25"/>
    <mergeCell ref="H25:I25"/>
    <mergeCell ref="J25:K25"/>
    <mergeCell ref="L25:M25"/>
    <mergeCell ref="N25:O25"/>
    <mergeCell ref="P25:Q25"/>
    <mergeCell ref="V25:W25"/>
    <mergeCell ref="X25:Y25"/>
    <mergeCell ref="Z25:AA25"/>
    <mergeCell ref="D27:E27"/>
    <mergeCell ref="F27:G27"/>
    <mergeCell ref="H27:I27"/>
    <mergeCell ref="J27:K27"/>
    <mergeCell ref="L27:M27"/>
    <mergeCell ref="N27:R27"/>
    <mergeCell ref="T27:AA27"/>
    <mergeCell ref="D28:E28"/>
    <mergeCell ref="F28:G28"/>
    <mergeCell ref="H28:I28"/>
    <mergeCell ref="J28:K28"/>
    <mergeCell ref="L28:M28"/>
    <mergeCell ref="N28:R28"/>
    <mergeCell ref="X28:AA28"/>
    <mergeCell ref="X29:Y29"/>
    <mergeCell ref="Z29:AA29"/>
    <mergeCell ref="B30:R30"/>
    <mergeCell ref="X30:Y30"/>
    <mergeCell ref="Z30:AA30"/>
    <mergeCell ref="B31:C31"/>
    <mergeCell ref="J31:Q31"/>
    <mergeCell ref="X31:Y31"/>
    <mergeCell ref="Z31:AA31"/>
    <mergeCell ref="B32:C32"/>
    <mergeCell ref="J32:Q32"/>
    <mergeCell ref="X32:Y32"/>
    <mergeCell ref="Z32:AA32"/>
    <mergeCell ref="B33:C33"/>
    <mergeCell ref="J33:Q33"/>
    <mergeCell ref="X33:Y33"/>
    <mergeCell ref="Z33:AA33"/>
    <mergeCell ref="B34:C34"/>
    <mergeCell ref="J34:Q34"/>
    <mergeCell ref="X34:Y34"/>
    <mergeCell ref="Z34:AA34"/>
    <mergeCell ref="B35:C35"/>
    <mergeCell ref="J35:Q35"/>
    <mergeCell ref="X35:Y35"/>
    <mergeCell ref="Z35:AA35"/>
    <mergeCell ref="B36:C36"/>
    <mergeCell ref="J36:Q36"/>
    <mergeCell ref="X36:Y36"/>
    <mergeCell ref="Z36:AA36"/>
    <mergeCell ref="B37:C37"/>
    <mergeCell ref="J37:Q37"/>
    <mergeCell ref="X37:Y37"/>
    <mergeCell ref="Z37:AA37"/>
    <mergeCell ref="B38:C38"/>
    <mergeCell ref="J38:Q38"/>
    <mergeCell ref="X38:Y38"/>
    <mergeCell ref="Z38:AA38"/>
    <mergeCell ref="B39:C39"/>
    <mergeCell ref="J39:Q39"/>
    <mergeCell ref="X39:Y39"/>
    <mergeCell ref="Z39:AA39"/>
    <mergeCell ref="B40:C40"/>
    <mergeCell ref="J40:Q40"/>
    <mergeCell ref="X40:Y40"/>
    <mergeCell ref="Z40:AA40"/>
    <mergeCell ref="B41:C41"/>
    <mergeCell ref="J41:Q41"/>
    <mergeCell ref="X41:Y41"/>
    <mergeCell ref="Z41:AA41"/>
    <mergeCell ref="B42:C42"/>
    <mergeCell ref="J42:Q42"/>
    <mergeCell ref="X42:Y42"/>
    <mergeCell ref="Z42:AA42"/>
    <mergeCell ref="B43:C43"/>
    <mergeCell ref="J43:Q43"/>
    <mergeCell ref="X43:Y43"/>
    <mergeCell ref="Z43:AA43"/>
    <mergeCell ref="B44:C44"/>
    <mergeCell ref="J44:Q44"/>
    <mergeCell ref="X44:Y44"/>
    <mergeCell ref="Z44:AA44"/>
    <mergeCell ref="B45:C45"/>
    <mergeCell ref="J45:Q45"/>
    <mergeCell ref="T45:AA45"/>
    <mergeCell ref="B46:C46"/>
    <mergeCell ref="J46:Q46"/>
    <mergeCell ref="T46:U46"/>
    <mergeCell ref="V46:AA46"/>
    <mergeCell ref="B47:C47"/>
    <mergeCell ref="J47:Q47"/>
    <mergeCell ref="T47:U47"/>
    <mergeCell ref="V47:AA47"/>
    <mergeCell ref="B48:C48"/>
    <mergeCell ref="J48:Q48"/>
    <mergeCell ref="T48:U48"/>
    <mergeCell ref="V48:AA48"/>
    <mergeCell ref="B49:C49"/>
    <mergeCell ref="J49:Q49"/>
    <mergeCell ref="T49:U49"/>
    <mergeCell ref="V49:AA49"/>
    <mergeCell ref="B50:C50"/>
    <mergeCell ref="J50:Q50"/>
    <mergeCell ref="T50:U50"/>
    <mergeCell ref="V50:AA50"/>
    <mergeCell ref="B51:C51"/>
    <mergeCell ref="J51:Q51"/>
    <mergeCell ref="T51:U51"/>
    <mergeCell ref="V51:AA51"/>
    <mergeCell ref="B53:R53"/>
    <mergeCell ref="T53:AA53"/>
    <mergeCell ref="B54:C54"/>
    <mergeCell ref="N54:O54"/>
    <mergeCell ref="T54:U54"/>
    <mergeCell ref="Y54:Z54"/>
    <mergeCell ref="B55:C55"/>
    <mergeCell ref="P55:Q55"/>
    <mergeCell ref="T55:U55"/>
    <mergeCell ref="Y55:Z55"/>
    <mergeCell ref="B56:C56"/>
    <mergeCell ref="P56:Q56"/>
    <mergeCell ref="T56:U56"/>
    <mergeCell ref="Y56:Z56"/>
    <mergeCell ref="B57:C57"/>
    <mergeCell ref="P57:Q57"/>
    <mergeCell ref="T57:U57"/>
    <mergeCell ref="Y57:Z57"/>
    <mergeCell ref="B59:R59"/>
    <mergeCell ref="T59:AA59"/>
    <mergeCell ref="B60:D60"/>
    <mergeCell ref="E60:F60"/>
    <mergeCell ref="G60:H60"/>
    <mergeCell ref="I60:K60"/>
    <mergeCell ref="L60:N60"/>
    <mergeCell ref="O60:R60"/>
    <mergeCell ref="T60:U60"/>
    <mergeCell ref="V60:AA60"/>
    <mergeCell ref="B61:D61"/>
    <mergeCell ref="E61:F61"/>
    <mergeCell ref="G61:H61"/>
    <mergeCell ref="I61:K61"/>
    <mergeCell ref="L61:N61"/>
    <mergeCell ref="O61:R61"/>
    <mergeCell ref="T61:U61"/>
    <mergeCell ref="V61:AA61"/>
    <mergeCell ref="B62:D62"/>
    <mergeCell ref="E62:F62"/>
    <mergeCell ref="G62:H62"/>
    <mergeCell ref="I62:K62"/>
    <mergeCell ref="L62:N62"/>
    <mergeCell ref="O62:R62"/>
    <mergeCell ref="T62:U62"/>
    <mergeCell ref="V62:AA62"/>
    <mergeCell ref="B63:D63"/>
    <mergeCell ref="E63:F63"/>
    <mergeCell ref="G63:H63"/>
    <mergeCell ref="I63:K63"/>
    <mergeCell ref="L63:N63"/>
    <mergeCell ref="O63:R63"/>
    <mergeCell ref="T63:U63"/>
    <mergeCell ref="V63:AA63"/>
    <mergeCell ref="B65:R65"/>
    <mergeCell ref="T65:AA65"/>
    <mergeCell ref="B66:E66"/>
    <mergeCell ref="L66:Q66"/>
    <mergeCell ref="T66:AA66"/>
    <mergeCell ref="B67:E67"/>
    <mergeCell ref="L67:Q67"/>
    <mergeCell ref="B68:E68"/>
    <mergeCell ref="L68:Q68"/>
    <mergeCell ref="B69:E69"/>
    <mergeCell ref="L69:Q69"/>
    <mergeCell ref="T69:AA69"/>
    <mergeCell ref="B70:E70"/>
    <mergeCell ref="L70:Q70"/>
    <mergeCell ref="B71:E71"/>
    <mergeCell ref="L71:Q71"/>
    <mergeCell ref="B72:E72"/>
    <mergeCell ref="L72:Q72"/>
    <mergeCell ref="T72:AA72"/>
    <mergeCell ref="B73:E73"/>
    <mergeCell ref="L73:Q73"/>
    <mergeCell ref="B74:E74"/>
    <mergeCell ref="L74:Q74"/>
    <mergeCell ref="B75:E75"/>
    <mergeCell ref="L75:Q75"/>
    <mergeCell ref="B76:E76"/>
    <mergeCell ref="L76:Q76"/>
    <mergeCell ref="B77:E77"/>
    <mergeCell ref="L77:Q77"/>
    <mergeCell ref="B78:E78"/>
    <mergeCell ref="L78:Q78"/>
    <mergeCell ref="T78:AA78"/>
    <mergeCell ref="B79:E79"/>
    <mergeCell ref="L79:Q79"/>
    <mergeCell ref="B80:E80"/>
    <mergeCell ref="L80:Q80"/>
    <mergeCell ref="B81:E81"/>
    <mergeCell ref="L81:Q81"/>
    <mergeCell ref="B82:E82"/>
    <mergeCell ref="L82:Q82"/>
    <mergeCell ref="B83:E83"/>
    <mergeCell ref="L83:Q83"/>
    <mergeCell ref="B84:E84"/>
    <mergeCell ref="L84:Q84"/>
    <mergeCell ref="B85:E85"/>
    <mergeCell ref="L85:Q85"/>
    <mergeCell ref="B86:E86"/>
    <mergeCell ref="L86:Q86"/>
    <mergeCell ref="B87:E87"/>
    <mergeCell ref="L87:Q87"/>
    <mergeCell ref="B88:E88"/>
    <mergeCell ref="L88:Q88"/>
    <mergeCell ref="B89:E89"/>
    <mergeCell ref="L89:Q89"/>
    <mergeCell ref="B90:E90"/>
    <mergeCell ref="L90:Q90"/>
    <mergeCell ref="B91:E91"/>
    <mergeCell ref="L91:Q91"/>
    <mergeCell ref="B92:E92"/>
    <mergeCell ref="L92:Q92"/>
    <mergeCell ref="Z93:AA93"/>
    <mergeCell ref="B94:AA94"/>
    <mergeCell ref="B95:F95"/>
    <mergeCell ref="G95:AA95"/>
    <mergeCell ref="B96:F96"/>
    <mergeCell ref="G96:AA96"/>
    <mergeCell ref="B97:F97"/>
    <mergeCell ref="G97:AA97"/>
    <mergeCell ref="B98:F98"/>
    <mergeCell ref="G98:AA98"/>
    <mergeCell ref="B99:AA99"/>
    <mergeCell ref="B100:F100"/>
    <mergeCell ref="G100:AA100"/>
    <mergeCell ref="B101:F101"/>
    <mergeCell ref="G101:AA101"/>
    <mergeCell ref="B102:F102"/>
    <mergeCell ref="G102:AA102"/>
    <mergeCell ref="B104:AA104"/>
    <mergeCell ref="C105:G105"/>
    <mergeCell ref="I105:AA105"/>
    <mergeCell ref="C106:G106"/>
    <mergeCell ref="I106:AA106"/>
    <mergeCell ref="C107:G107"/>
    <mergeCell ref="I107:AA107"/>
    <mergeCell ref="C108:G108"/>
    <mergeCell ref="I108:AA108"/>
    <mergeCell ref="C109:G109"/>
    <mergeCell ref="I109:AA109"/>
    <mergeCell ref="C110:G110"/>
    <mergeCell ref="I110:AA110"/>
    <mergeCell ref="C111:G111"/>
    <mergeCell ref="I111:AA111"/>
    <mergeCell ref="C112:G112"/>
    <mergeCell ref="I112:AA112"/>
    <mergeCell ref="C113:G113"/>
    <mergeCell ref="I113:AA113"/>
    <mergeCell ref="C114:G114"/>
    <mergeCell ref="I114:AA114"/>
    <mergeCell ref="C115:G115"/>
    <mergeCell ref="I115:AA115"/>
    <mergeCell ref="C116:G116"/>
    <mergeCell ref="I116:AA116"/>
    <mergeCell ref="C117:G117"/>
    <mergeCell ref="I117:AA117"/>
    <mergeCell ref="C118:G118"/>
    <mergeCell ref="I118:AA118"/>
    <mergeCell ref="C119:G119"/>
    <mergeCell ref="I119:AA119"/>
    <mergeCell ref="C120:G120"/>
    <mergeCell ref="I120:AA120"/>
    <mergeCell ref="C121:G121"/>
    <mergeCell ref="I121:AA121"/>
    <mergeCell ref="C122:G122"/>
    <mergeCell ref="I122:AA122"/>
    <mergeCell ref="C123:G123"/>
    <mergeCell ref="I123:AA123"/>
    <mergeCell ref="C124:G124"/>
    <mergeCell ref="I124:AA124"/>
    <mergeCell ref="C125:G125"/>
    <mergeCell ref="I125:AA125"/>
    <mergeCell ref="C126:G126"/>
    <mergeCell ref="I126:AA126"/>
    <mergeCell ref="C127:G127"/>
    <mergeCell ref="I127:AA127"/>
    <mergeCell ref="C128:G128"/>
    <mergeCell ref="I128:AA128"/>
    <mergeCell ref="C129:G129"/>
    <mergeCell ref="I129:AA129"/>
    <mergeCell ref="C130:G130"/>
    <mergeCell ref="I130:AA130"/>
    <mergeCell ref="C131:G131"/>
    <mergeCell ref="I131:AA131"/>
    <mergeCell ref="B133:AA133"/>
    <mergeCell ref="B105:B111"/>
    <mergeCell ref="B112:B115"/>
    <mergeCell ref="B116:B119"/>
    <mergeCell ref="B120:B123"/>
    <mergeCell ref="B124:B127"/>
    <mergeCell ref="B128:B131"/>
    <mergeCell ref="D55:D57"/>
    <mergeCell ref="F55:F57"/>
    <mergeCell ref="H55:H57"/>
    <mergeCell ref="J55:J57"/>
    <mergeCell ref="L55:L57"/>
    <mergeCell ref="M6:M7"/>
    <mergeCell ref="M12:M14"/>
    <mergeCell ref="M15:M16"/>
    <mergeCell ref="M17:M19"/>
    <mergeCell ref="M20:M21"/>
    <mergeCell ref="N55:N57"/>
    <mergeCell ref="T2:T4"/>
    <mergeCell ref="O6:AA7"/>
    <mergeCell ref="B9:C10"/>
    <mergeCell ref="L9:M10"/>
    <mergeCell ref="T12:U21"/>
    <mergeCell ref="V12:AA21"/>
    <mergeCell ref="N13:R21"/>
    <mergeCell ref="B27:C28"/>
    <mergeCell ref="N9:AA10"/>
    <mergeCell ref="T24:U25"/>
    <mergeCell ref="W54:X57"/>
    <mergeCell ref="B134:AA152"/>
    <mergeCell ref="T67:AA68"/>
    <mergeCell ref="T73:AA76"/>
    <mergeCell ref="T70:AA71"/>
    <mergeCell ref="T79:AA92"/>
  </mergeCells>
  <dataValidations count="4">
    <dataValidation type="list" allowBlank="1" showInputMessage="1" showErrorMessage="1" sqref="X2 F28:K28">
      <formula1>"是,否"</formula1>
    </dataValidation>
    <dataValidation type="list" allowBlank="1" showInputMessage="1" showErrorMessage="1" sqref="B7:E7">
      <formula1>职业数据!$E$2:$E$8</formula1>
    </dataValidation>
    <dataValidation type="list" allowBlank="1" showInputMessage="1" showErrorMessage="1" sqref="N7">
      <formula1>人物数据!$A$2:$A$101</formula1>
    </dataValidation>
    <dataValidation type="list" allowBlank="1" showInputMessage="1" showErrorMessage="1" sqref="F67:F92 F96:F98 F101:F102">
      <formula1>"-,S,T,Ag,Int,WP,Per,Fel"</formula1>
    </dataValidation>
  </dataValidations>
  <pageMargins left="0.7" right="0.7" top="0.75" bottom="0.75" header="0.511811023622047" footer="0.511811023622047"/>
  <pageSetup paperSize="9" orientation="portrait" horizontalDpi="300" verticalDpi="300"/>
  <headerFooter/>
  <ignoredErrors>
    <ignoredError sqref="AZ104:BQ126 A104:AC126 AZ48:BQ93 K4:M4 O4:P4 A7 C7:E7 A4:I4 A35:S57 I34:S34 A34:G34 A33:S33 AB23:BQ47 A3:Y3 I7:J7 L7:M7 A1:BQ1 A2:W2 Y2 AA2:BQ4 R4:X4 A5:BQ5 A6:E6 I6:N6 P6:BQ6 O7:BQ7 A8:BQ8 A9:F9 A10:C10 E10:F10 I9:I10 K9:K10 M9:BQ10 A11:BQ12 A13:A14 J13:BQ13 E13:H13 C13:C14 T14:BQ21 A19:R21 E18:R18 A18:C18 A17:R17 E14:R16 A15:C16 A22:BQ22 A23:S27 A28:M28 O28:S28 A29:S29 B30:S30 A31:S31 A32:E32 G32:S32 AB48:AC57 A58:AC58 A59:S63 AB59:AC63 A64:AC64 B65:S66 AB65:AC92 G67:S67 F68:S76 F77:R77 F78:S87 G88:S88 F89:S92 A93:Q93 S93:AC93 A127:BQ153" formulaRange="1"/>
  </ignoredError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5"/>
  <sheetViews>
    <sheetView workbookViewId="0">
      <selection activeCell="D85" sqref="D85:R86"/>
    </sheetView>
  </sheetViews>
  <sheetFormatPr defaultColWidth="5.16666666666667" defaultRowHeight="18" customHeight="1"/>
  <cols>
    <col min="1" max="1" width="2.40833333333333" style="61" customWidth="1"/>
    <col min="2" max="18" width="5.15833333333333" style="61"/>
    <col min="19" max="19" width="2.40833333333333" style="61" customWidth="1"/>
    <col min="20" max="25" width="5.15833333333333" style="61"/>
    <col min="26" max="26" width="5.16666666666667" style="61"/>
    <col min="27" max="27" width="5.15833333333333" style="61"/>
    <col min="28" max="28" width="2.40833333333333" style="61" customWidth="1"/>
    <col min="29" max="29" width="7.25" style="61" customWidth="1"/>
    <col min="30" max="16384" width="5.15833333333333" style="61"/>
  </cols>
  <sheetData>
    <row r="1" s="61" customFormat="1" customHeight="1" spans="1:19">
      <c r="A1" s="62"/>
      <c r="B1" s="63" t="s">
        <v>176</v>
      </c>
      <c r="C1" s="63"/>
      <c r="D1" s="63"/>
      <c r="E1" s="63"/>
      <c r="F1" s="63"/>
      <c r="G1" s="63"/>
      <c r="H1" s="63"/>
      <c r="I1" s="63"/>
      <c r="J1" s="63"/>
      <c r="K1" s="63"/>
      <c r="L1" s="63"/>
      <c r="M1" s="63"/>
      <c r="N1" s="63"/>
      <c r="O1" s="63"/>
      <c r="P1" s="63"/>
      <c r="Q1" s="63"/>
      <c r="R1" s="63"/>
      <c r="S1" s="62"/>
    </row>
    <row r="2" s="61" customFormat="1" customHeight="1" spans="1:19">
      <c r="A2" s="62"/>
      <c r="B2" s="64" t="s">
        <v>177</v>
      </c>
      <c r="C2" s="64"/>
      <c r="D2" s="64"/>
      <c r="E2" s="64"/>
      <c r="F2" s="64"/>
      <c r="G2" s="64"/>
      <c r="H2" s="64"/>
      <c r="I2" s="64"/>
      <c r="J2" s="64"/>
      <c r="K2" s="64"/>
      <c r="L2" s="64"/>
      <c r="M2" s="64"/>
      <c r="N2" s="64"/>
      <c r="O2" s="64"/>
      <c r="P2" s="64"/>
      <c r="Q2" s="64"/>
      <c r="R2" s="64"/>
      <c r="S2" s="62"/>
    </row>
    <row r="3" s="61" customFormat="1" customHeight="1" spans="1:19">
      <c r="A3" s="62"/>
      <c r="B3" s="65" t="s">
        <v>178</v>
      </c>
      <c r="C3" s="65"/>
      <c r="D3" s="66" t="s">
        <v>179</v>
      </c>
      <c r="E3" s="66"/>
      <c r="F3" s="66"/>
      <c r="G3" s="66"/>
      <c r="H3" s="66"/>
      <c r="I3" s="66"/>
      <c r="J3" s="66" t="s">
        <v>180</v>
      </c>
      <c r="K3" s="66" t="s">
        <v>181</v>
      </c>
      <c r="L3" s="66"/>
      <c r="M3" s="66"/>
      <c r="N3" s="66"/>
      <c r="O3" s="66"/>
      <c r="P3" s="66"/>
      <c r="Q3" s="66" t="s">
        <v>182</v>
      </c>
      <c r="R3" s="66" t="s">
        <v>183</v>
      </c>
      <c r="S3" s="62"/>
    </row>
    <row r="4" s="61" customFormat="1" customHeight="1" spans="1:19">
      <c r="A4" s="62"/>
      <c r="B4" s="50"/>
      <c r="C4" s="50"/>
      <c r="D4" s="50"/>
      <c r="E4" s="50"/>
      <c r="F4" s="50"/>
      <c r="G4" s="50"/>
      <c r="H4" s="50"/>
      <c r="I4" s="50"/>
      <c r="J4" s="50"/>
      <c r="K4" s="50"/>
      <c r="L4" s="50"/>
      <c r="M4" s="50"/>
      <c r="N4" s="50"/>
      <c r="O4" s="50"/>
      <c r="P4" s="50"/>
      <c r="Q4" s="50"/>
      <c r="R4" s="50">
        <f>人物!K13</f>
        <v>0</v>
      </c>
      <c r="S4" s="62"/>
    </row>
    <row r="5" s="61" customFormat="1" customHeight="1" spans="1:19">
      <c r="A5" s="62"/>
      <c r="B5" s="67" t="s">
        <v>184</v>
      </c>
      <c r="C5" s="67"/>
      <c r="D5" s="67"/>
      <c r="E5" s="67"/>
      <c r="F5" s="67"/>
      <c r="G5" s="67"/>
      <c r="H5" s="67"/>
      <c r="I5" s="67"/>
      <c r="J5" s="67"/>
      <c r="K5" s="67"/>
      <c r="L5" s="67"/>
      <c r="M5" s="67"/>
      <c r="N5" s="67"/>
      <c r="O5" s="67"/>
      <c r="P5" s="67"/>
      <c r="Q5" s="67"/>
      <c r="R5" s="67"/>
      <c r="S5" s="62"/>
    </row>
    <row r="6" s="61" customFormat="1" customHeight="1" spans="1:19">
      <c r="A6" s="62"/>
      <c r="B6" s="68"/>
      <c r="C6" s="68"/>
      <c r="D6" s="68"/>
      <c r="E6" s="68"/>
      <c r="F6" s="68"/>
      <c r="G6" s="68"/>
      <c r="H6" s="68"/>
      <c r="I6" s="68"/>
      <c r="J6" s="68"/>
      <c r="K6" s="68"/>
      <c r="L6" s="68"/>
      <c r="M6" s="68"/>
      <c r="N6" s="68"/>
      <c r="O6" s="68"/>
      <c r="P6" s="68"/>
      <c r="Q6" s="68"/>
      <c r="R6" s="68"/>
      <c r="S6" s="62"/>
    </row>
    <row r="7" s="61" customFormat="1" customHeight="1" spans="1:19">
      <c r="A7" s="62"/>
      <c r="B7" s="68"/>
      <c r="C7" s="68"/>
      <c r="D7" s="68"/>
      <c r="E7" s="68"/>
      <c r="F7" s="68"/>
      <c r="G7" s="68"/>
      <c r="H7" s="68"/>
      <c r="I7" s="68"/>
      <c r="J7" s="68"/>
      <c r="K7" s="68"/>
      <c r="L7" s="68"/>
      <c r="M7" s="68"/>
      <c r="N7" s="68"/>
      <c r="O7" s="68"/>
      <c r="P7" s="68"/>
      <c r="Q7" s="68"/>
      <c r="R7" s="68"/>
      <c r="S7" s="62"/>
    </row>
    <row r="8" s="61" customFormat="1" customHeight="1" spans="1:19">
      <c r="A8" s="62"/>
      <c r="B8" s="67" t="s">
        <v>185</v>
      </c>
      <c r="C8" s="67"/>
      <c r="D8" s="67"/>
      <c r="E8" s="67"/>
      <c r="F8" s="67"/>
      <c r="G8" s="67"/>
      <c r="H8" s="67"/>
      <c r="I8" s="67"/>
      <c r="J8" s="67"/>
      <c r="K8" s="67"/>
      <c r="L8" s="67"/>
      <c r="M8" s="67"/>
      <c r="N8" s="67"/>
      <c r="O8" s="67"/>
      <c r="P8" s="67"/>
      <c r="Q8" s="67"/>
      <c r="R8" s="67"/>
      <c r="S8" s="62"/>
    </row>
    <row r="9" s="61" customFormat="1" customHeight="1" spans="1:19">
      <c r="A9" s="62"/>
      <c r="B9" s="68"/>
      <c r="C9" s="68"/>
      <c r="D9" s="68"/>
      <c r="E9" s="68"/>
      <c r="F9" s="68"/>
      <c r="G9" s="68"/>
      <c r="H9" s="68"/>
      <c r="I9" s="68"/>
      <c r="J9" s="68"/>
      <c r="K9" s="68"/>
      <c r="L9" s="68"/>
      <c r="M9" s="68"/>
      <c r="N9" s="68"/>
      <c r="O9" s="68"/>
      <c r="P9" s="68"/>
      <c r="Q9" s="68"/>
      <c r="R9" s="68"/>
      <c r="S9" s="62"/>
    </row>
    <row r="10" s="61" customFormat="1" customHeight="1" spans="1:19">
      <c r="A10" s="62"/>
      <c r="B10" s="68"/>
      <c r="C10" s="68"/>
      <c r="D10" s="68"/>
      <c r="E10" s="68"/>
      <c r="F10" s="68"/>
      <c r="G10" s="68"/>
      <c r="H10" s="68"/>
      <c r="I10" s="68"/>
      <c r="J10" s="68"/>
      <c r="K10" s="68"/>
      <c r="L10" s="68"/>
      <c r="M10" s="68"/>
      <c r="N10" s="68"/>
      <c r="O10" s="68"/>
      <c r="P10" s="68"/>
      <c r="Q10" s="68"/>
      <c r="R10" s="68"/>
      <c r="S10" s="62"/>
    </row>
    <row r="11" s="61" customFormat="1" customHeight="1" spans="1:19">
      <c r="A11" s="62"/>
      <c r="B11" s="63" t="s">
        <v>186</v>
      </c>
      <c r="C11" s="63"/>
      <c r="D11" s="63"/>
      <c r="E11" s="63"/>
      <c r="F11" s="63"/>
      <c r="G11" s="63"/>
      <c r="H11" s="63"/>
      <c r="I11" s="63"/>
      <c r="J11" s="63"/>
      <c r="K11" s="63"/>
      <c r="L11" s="63"/>
      <c r="M11" s="63"/>
      <c r="N11" s="63"/>
      <c r="O11" s="63"/>
      <c r="P11" s="63"/>
      <c r="Q11" s="63"/>
      <c r="R11" s="63"/>
      <c r="S11" s="62"/>
    </row>
    <row r="12" s="61" customFormat="1" customHeight="1" spans="1:19">
      <c r="A12" s="62"/>
      <c r="B12" s="64" t="s">
        <v>177</v>
      </c>
      <c r="C12" s="64"/>
      <c r="D12" s="64"/>
      <c r="E12" s="64"/>
      <c r="F12" s="64"/>
      <c r="G12" s="64"/>
      <c r="H12" s="64"/>
      <c r="I12" s="64"/>
      <c r="J12" s="64"/>
      <c r="K12" s="64"/>
      <c r="L12" s="64"/>
      <c r="M12" s="64"/>
      <c r="N12" s="64"/>
      <c r="O12" s="64"/>
      <c r="P12" s="64"/>
      <c r="Q12" s="64"/>
      <c r="R12" s="64"/>
      <c r="S12" s="62"/>
    </row>
    <row r="13" s="61" customFormat="1" customHeight="1" spans="1:19">
      <c r="A13" s="62"/>
      <c r="B13" s="67" t="s">
        <v>178</v>
      </c>
      <c r="C13" s="67"/>
      <c r="D13" s="66" t="s">
        <v>187</v>
      </c>
      <c r="E13" s="66"/>
      <c r="F13" s="66" t="s">
        <v>188</v>
      </c>
      <c r="G13" s="66"/>
      <c r="H13" s="66"/>
      <c r="I13" s="66" t="s">
        <v>180</v>
      </c>
      <c r="J13" s="66" t="s">
        <v>181</v>
      </c>
      <c r="K13" s="66"/>
      <c r="L13" s="66"/>
      <c r="M13" s="66"/>
      <c r="N13" s="66"/>
      <c r="O13" s="66"/>
      <c r="P13" s="66"/>
      <c r="Q13" s="66" t="s">
        <v>182</v>
      </c>
      <c r="R13" s="66" t="s">
        <v>189</v>
      </c>
      <c r="S13" s="62"/>
    </row>
    <row r="14" s="61" customFormat="1" customHeight="1" spans="1:19">
      <c r="A14" s="62"/>
      <c r="B14" s="50"/>
      <c r="C14" s="50"/>
      <c r="D14" s="50"/>
      <c r="E14" s="50"/>
      <c r="F14" s="69"/>
      <c r="G14" s="69"/>
      <c r="H14" s="69"/>
      <c r="I14" s="50"/>
      <c r="J14" s="50"/>
      <c r="K14" s="50"/>
      <c r="L14" s="50"/>
      <c r="M14" s="50"/>
      <c r="N14" s="50"/>
      <c r="O14" s="50"/>
      <c r="P14" s="50"/>
      <c r="Q14" s="50"/>
      <c r="R14" s="50">
        <f>人物!K14</f>
        <v>0</v>
      </c>
      <c r="S14" s="62"/>
    </row>
    <row r="15" s="61" customFormat="1" customHeight="1" spans="1:19">
      <c r="A15" s="62"/>
      <c r="B15" s="67" t="s">
        <v>179</v>
      </c>
      <c r="C15" s="67"/>
      <c r="D15" s="50"/>
      <c r="E15" s="50"/>
      <c r="F15" s="50"/>
      <c r="G15" s="50"/>
      <c r="H15" s="50"/>
      <c r="I15" s="67" t="s">
        <v>190</v>
      </c>
      <c r="J15" s="50"/>
      <c r="K15" s="50"/>
      <c r="L15" s="50"/>
      <c r="M15" s="50"/>
      <c r="N15" s="50"/>
      <c r="O15" s="67" t="s">
        <v>191</v>
      </c>
      <c r="P15" s="67"/>
      <c r="Q15" s="50"/>
      <c r="R15" s="50"/>
      <c r="S15" s="62"/>
    </row>
    <row r="16" s="61" customFormat="1" customHeight="1" spans="1:19">
      <c r="A16" s="62"/>
      <c r="B16" s="67" t="s">
        <v>184</v>
      </c>
      <c r="C16" s="67"/>
      <c r="D16" s="67"/>
      <c r="E16" s="67"/>
      <c r="F16" s="67"/>
      <c r="G16" s="67"/>
      <c r="H16" s="67"/>
      <c r="I16" s="67"/>
      <c r="J16" s="67"/>
      <c r="K16" s="67"/>
      <c r="L16" s="67"/>
      <c r="M16" s="67"/>
      <c r="N16" s="67"/>
      <c r="O16" s="67"/>
      <c r="P16" s="67"/>
      <c r="Q16" s="67"/>
      <c r="R16" s="67"/>
      <c r="S16" s="62"/>
    </row>
    <row r="17" s="61" customFormat="1" customHeight="1" spans="1:19">
      <c r="A17" s="62"/>
      <c r="B17" s="68"/>
      <c r="C17" s="68"/>
      <c r="D17" s="68"/>
      <c r="E17" s="68"/>
      <c r="F17" s="68"/>
      <c r="G17" s="68"/>
      <c r="H17" s="68"/>
      <c r="I17" s="68"/>
      <c r="J17" s="68"/>
      <c r="K17" s="68"/>
      <c r="L17" s="68"/>
      <c r="M17" s="68"/>
      <c r="N17" s="68"/>
      <c r="O17" s="68"/>
      <c r="P17" s="68"/>
      <c r="Q17" s="68"/>
      <c r="R17" s="68"/>
      <c r="S17" s="62"/>
    </row>
    <row r="18" s="61" customFormat="1" customHeight="1" spans="1:19">
      <c r="A18" s="62"/>
      <c r="B18" s="68"/>
      <c r="C18" s="68"/>
      <c r="D18" s="68"/>
      <c r="E18" s="68"/>
      <c r="F18" s="68"/>
      <c r="G18" s="68"/>
      <c r="H18" s="68"/>
      <c r="I18" s="68"/>
      <c r="J18" s="68"/>
      <c r="K18" s="68"/>
      <c r="L18" s="68"/>
      <c r="M18" s="68"/>
      <c r="N18" s="68"/>
      <c r="O18" s="68"/>
      <c r="P18" s="68"/>
      <c r="Q18" s="68"/>
      <c r="R18" s="68"/>
      <c r="S18" s="62"/>
    </row>
    <row r="19" s="61" customFormat="1" customHeight="1" spans="1:19">
      <c r="A19" s="62"/>
      <c r="B19" s="67" t="s">
        <v>185</v>
      </c>
      <c r="C19" s="67"/>
      <c r="D19" s="67"/>
      <c r="E19" s="67"/>
      <c r="F19" s="67"/>
      <c r="G19" s="67"/>
      <c r="H19" s="67"/>
      <c r="I19" s="67"/>
      <c r="J19" s="67"/>
      <c r="K19" s="67"/>
      <c r="L19" s="67"/>
      <c r="M19" s="67"/>
      <c r="N19" s="67"/>
      <c r="O19" s="67"/>
      <c r="P19" s="67"/>
      <c r="Q19" s="67"/>
      <c r="R19" s="67"/>
      <c r="S19" s="62"/>
    </row>
    <row r="20" s="61" customFormat="1" customHeight="1" spans="1:19">
      <c r="A20" s="62"/>
      <c r="B20" s="68"/>
      <c r="C20" s="68"/>
      <c r="D20" s="68"/>
      <c r="E20" s="68"/>
      <c r="F20" s="68"/>
      <c r="G20" s="68"/>
      <c r="H20" s="68"/>
      <c r="I20" s="68"/>
      <c r="J20" s="68"/>
      <c r="K20" s="68"/>
      <c r="L20" s="68"/>
      <c r="M20" s="68"/>
      <c r="N20" s="68"/>
      <c r="O20" s="68"/>
      <c r="P20" s="68"/>
      <c r="Q20" s="68"/>
      <c r="R20" s="68"/>
      <c r="S20" s="62"/>
    </row>
    <row r="21" s="61" customFormat="1" customHeight="1" spans="1:19">
      <c r="A21" s="62"/>
      <c r="B21" s="68"/>
      <c r="C21" s="68"/>
      <c r="D21" s="68"/>
      <c r="E21" s="68"/>
      <c r="F21" s="68"/>
      <c r="G21" s="68"/>
      <c r="H21" s="68"/>
      <c r="I21" s="68"/>
      <c r="J21" s="68"/>
      <c r="K21" s="68"/>
      <c r="L21" s="68"/>
      <c r="M21" s="68"/>
      <c r="N21" s="68"/>
      <c r="O21" s="68"/>
      <c r="P21" s="68"/>
      <c r="Q21" s="68"/>
      <c r="R21" s="68"/>
      <c r="S21" s="62"/>
    </row>
    <row r="22" s="61" customFormat="1" customHeight="1" spans="1:19">
      <c r="A22" s="62"/>
      <c r="B22" s="63"/>
      <c r="C22" s="63"/>
      <c r="D22" s="63"/>
      <c r="E22" s="63"/>
      <c r="F22" s="63"/>
      <c r="G22" s="63"/>
      <c r="H22" s="63"/>
      <c r="I22" s="63"/>
      <c r="J22" s="63"/>
      <c r="K22" s="63"/>
      <c r="L22" s="63"/>
      <c r="M22" s="63"/>
      <c r="N22" s="63"/>
      <c r="O22" s="63"/>
      <c r="P22" s="63"/>
      <c r="Q22" s="63"/>
      <c r="R22" s="63"/>
      <c r="S22" s="62"/>
    </row>
    <row r="23" s="61" customFormat="1" customHeight="1" spans="1:19">
      <c r="A23" s="62"/>
      <c r="B23" s="70" t="s">
        <v>192</v>
      </c>
      <c r="C23" s="70"/>
      <c r="D23" s="70"/>
      <c r="E23" s="70"/>
      <c r="F23" s="70"/>
      <c r="G23" s="70"/>
      <c r="H23" s="70"/>
      <c r="I23" s="70"/>
      <c r="J23" s="70"/>
      <c r="K23" s="70"/>
      <c r="L23" s="70"/>
      <c r="M23" s="70"/>
      <c r="N23" s="70"/>
      <c r="O23" s="70"/>
      <c r="P23" s="70"/>
      <c r="Q23" s="70"/>
      <c r="R23" s="70"/>
      <c r="S23" s="62"/>
    </row>
    <row r="24" s="61" customFormat="1" customHeight="1" spans="1:19">
      <c r="A24" s="62"/>
      <c r="B24" s="71" t="s">
        <v>86</v>
      </c>
      <c r="C24" s="71"/>
      <c r="D24" s="71"/>
      <c r="E24" s="71"/>
      <c r="F24" s="71" t="s">
        <v>178</v>
      </c>
      <c r="G24" s="71"/>
      <c r="H24" s="66" t="s">
        <v>187</v>
      </c>
      <c r="I24" s="66" t="s">
        <v>188</v>
      </c>
      <c r="J24" s="71" t="s">
        <v>179</v>
      </c>
      <c r="K24" s="71"/>
      <c r="L24" s="66" t="s">
        <v>180</v>
      </c>
      <c r="M24" s="66" t="s">
        <v>193</v>
      </c>
      <c r="N24" s="66" t="s">
        <v>191</v>
      </c>
      <c r="O24" s="66" t="s">
        <v>181</v>
      </c>
      <c r="P24" s="66"/>
      <c r="Q24" s="66" t="s">
        <v>182</v>
      </c>
      <c r="R24" s="66" t="s">
        <v>92</v>
      </c>
      <c r="S24" s="62"/>
    </row>
    <row r="25" s="61" customFormat="1" customHeight="1" spans="1:19">
      <c r="A25" s="62"/>
      <c r="B25" s="50"/>
      <c r="C25" s="50"/>
      <c r="D25" s="50"/>
      <c r="E25" s="50"/>
      <c r="F25" s="50"/>
      <c r="G25" s="50"/>
      <c r="H25" s="50"/>
      <c r="I25" s="50"/>
      <c r="J25" s="50"/>
      <c r="K25" s="50"/>
      <c r="L25" s="50"/>
      <c r="M25" s="50"/>
      <c r="N25" s="50"/>
      <c r="O25" s="50"/>
      <c r="P25" s="50"/>
      <c r="Q25" s="50"/>
      <c r="R25" s="50"/>
      <c r="S25" s="62"/>
    </row>
    <row r="26" s="61" customFormat="1" customHeight="1" spans="1:19">
      <c r="A26" s="62"/>
      <c r="B26" s="50"/>
      <c r="C26" s="50"/>
      <c r="D26" s="50"/>
      <c r="E26" s="50"/>
      <c r="F26" s="50"/>
      <c r="G26" s="50"/>
      <c r="H26" s="50"/>
      <c r="I26" s="50"/>
      <c r="J26" s="50"/>
      <c r="K26" s="50"/>
      <c r="L26" s="50"/>
      <c r="M26" s="50"/>
      <c r="N26" s="50"/>
      <c r="O26" s="50"/>
      <c r="P26" s="50"/>
      <c r="Q26" s="50"/>
      <c r="R26" s="50"/>
      <c r="S26" s="62"/>
    </row>
    <row r="27" s="61" customFormat="1" customHeight="1" spans="1:19">
      <c r="A27" s="62"/>
      <c r="B27" s="50"/>
      <c r="C27" s="50"/>
      <c r="D27" s="50"/>
      <c r="E27" s="50"/>
      <c r="F27" s="50"/>
      <c r="G27" s="50"/>
      <c r="H27" s="72"/>
      <c r="I27" s="50"/>
      <c r="J27" s="50"/>
      <c r="K27" s="50"/>
      <c r="L27" s="50"/>
      <c r="M27" s="50"/>
      <c r="N27" s="50"/>
      <c r="O27" s="50"/>
      <c r="P27" s="50"/>
      <c r="Q27" s="50"/>
      <c r="R27" s="50"/>
      <c r="S27" s="62"/>
    </row>
    <row r="28" s="61" customFormat="1" customHeight="1" spans="1:19">
      <c r="A28" s="62"/>
      <c r="B28" s="50"/>
      <c r="C28" s="50"/>
      <c r="D28" s="50"/>
      <c r="E28" s="50"/>
      <c r="F28" s="50"/>
      <c r="G28" s="50"/>
      <c r="H28" s="50"/>
      <c r="I28" s="50"/>
      <c r="J28" s="50"/>
      <c r="K28" s="50"/>
      <c r="L28" s="50"/>
      <c r="M28" s="50"/>
      <c r="N28" s="50"/>
      <c r="O28" s="50"/>
      <c r="P28" s="50"/>
      <c r="Q28" s="50"/>
      <c r="R28" s="50"/>
      <c r="S28" s="62"/>
    </row>
    <row r="29" s="61" customFormat="1" customHeight="1" spans="1:19">
      <c r="A29" s="62"/>
      <c r="B29" s="50"/>
      <c r="C29" s="50"/>
      <c r="D29" s="50"/>
      <c r="E29" s="50"/>
      <c r="F29" s="50"/>
      <c r="G29" s="50"/>
      <c r="H29" s="50"/>
      <c r="I29" s="50"/>
      <c r="J29" s="50"/>
      <c r="K29" s="50"/>
      <c r="L29" s="50"/>
      <c r="M29" s="50"/>
      <c r="N29" s="50"/>
      <c r="O29" s="50"/>
      <c r="P29" s="50"/>
      <c r="Q29" s="50"/>
      <c r="R29" s="50"/>
      <c r="S29" s="62"/>
    </row>
    <row r="30" s="61" customFormat="1" customHeight="1" spans="1:19">
      <c r="A30" s="73"/>
      <c r="B30" s="73"/>
      <c r="C30" s="73"/>
      <c r="D30" s="73"/>
      <c r="E30" s="73"/>
      <c r="F30" s="73"/>
      <c r="G30" s="73"/>
      <c r="H30" s="73"/>
      <c r="I30" s="73"/>
      <c r="J30" s="73"/>
      <c r="K30" s="73"/>
      <c r="L30" s="73"/>
      <c r="M30" s="73"/>
      <c r="N30" s="73"/>
      <c r="O30" s="73"/>
      <c r="P30" s="73"/>
      <c r="Q30" s="74">
        <f>SUM(R25:R29)</f>
        <v>0</v>
      </c>
      <c r="R30" s="74"/>
      <c r="S30" s="62"/>
    </row>
    <row r="31" s="61" customFormat="1" customHeight="1" spans="1:19">
      <c r="A31" s="62"/>
      <c r="B31" s="70" t="s">
        <v>194</v>
      </c>
      <c r="C31" s="70"/>
      <c r="D31" s="70"/>
      <c r="E31" s="70"/>
      <c r="F31" s="70"/>
      <c r="G31" s="70"/>
      <c r="H31" s="70"/>
      <c r="I31" s="70"/>
      <c r="J31" s="70"/>
      <c r="K31" s="70"/>
      <c r="L31" s="70"/>
      <c r="M31" s="70"/>
      <c r="N31" s="70"/>
      <c r="O31" s="70"/>
      <c r="P31" s="70"/>
      <c r="Q31" s="70"/>
      <c r="R31" s="70"/>
      <c r="S31" s="62"/>
    </row>
    <row r="32" s="61" customFormat="1" customHeight="1" spans="1:19">
      <c r="A32" s="62"/>
      <c r="B32" s="71" t="s">
        <v>86</v>
      </c>
      <c r="C32" s="71"/>
      <c r="D32" s="71"/>
      <c r="E32" s="71"/>
      <c r="F32" s="71" t="s">
        <v>178</v>
      </c>
      <c r="G32" s="71"/>
      <c r="H32" s="66" t="s">
        <v>90</v>
      </c>
      <c r="I32" s="66" t="s">
        <v>195</v>
      </c>
      <c r="J32" s="66"/>
      <c r="K32" s="66"/>
      <c r="L32" s="66"/>
      <c r="M32" s="66"/>
      <c r="N32" s="66"/>
      <c r="O32" s="66"/>
      <c r="P32" s="66"/>
      <c r="Q32" s="66" t="s">
        <v>182</v>
      </c>
      <c r="R32" s="66" t="s">
        <v>92</v>
      </c>
      <c r="S32" s="62"/>
    </row>
    <row r="33" s="61" customFormat="1" customHeight="1" spans="1:19">
      <c r="A33" s="62"/>
      <c r="B33" s="50"/>
      <c r="C33" s="50"/>
      <c r="D33" s="50"/>
      <c r="E33" s="50"/>
      <c r="F33" s="50"/>
      <c r="G33" s="50"/>
      <c r="H33" s="50"/>
      <c r="I33" s="50"/>
      <c r="J33" s="50"/>
      <c r="K33" s="50"/>
      <c r="L33" s="50"/>
      <c r="M33" s="50"/>
      <c r="N33" s="50"/>
      <c r="O33" s="50"/>
      <c r="P33" s="50"/>
      <c r="Q33" s="50"/>
      <c r="R33" s="50"/>
      <c r="S33" s="62"/>
    </row>
    <row r="34" s="61" customFormat="1" customHeight="1" spans="1:19">
      <c r="A34" s="62"/>
      <c r="B34" s="50"/>
      <c r="C34" s="50"/>
      <c r="D34" s="50"/>
      <c r="E34" s="50"/>
      <c r="F34" s="50"/>
      <c r="G34" s="50"/>
      <c r="H34" s="50"/>
      <c r="I34" s="50"/>
      <c r="J34" s="50"/>
      <c r="K34" s="50"/>
      <c r="L34" s="50"/>
      <c r="M34" s="50"/>
      <c r="N34" s="50"/>
      <c r="O34" s="50"/>
      <c r="P34" s="50"/>
      <c r="Q34" s="50"/>
      <c r="R34" s="50"/>
      <c r="S34" s="62"/>
    </row>
    <row r="35" s="61" customFormat="1" customHeight="1" spans="1:19">
      <c r="A35" s="73"/>
      <c r="B35" s="73"/>
      <c r="C35" s="73"/>
      <c r="D35" s="73"/>
      <c r="E35" s="73"/>
      <c r="F35" s="73"/>
      <c r="G35" s="73"/>
      <c r="H35" s="73"/>
      <c r="I35" s="73"/>
      <c r="J35" s="73"/>
      <c r="K35" s="73"/>
      <c r="L35" s="73"/>
      <c r="M35" s="73"/>
      <c r="N35" s="73"/>
      <c r="O35" s="73"/>
      <c r="P35" s="73"/>
      <c r="Q35" s="74">
        <f>SUM(R33:R34)</f>
        <v>0</v>
      </c>
      <c r="R35" s="74"/>
      <c r="S35" s="62"/>
    </row>
    <row r="36" s="61" customFormat="1" customHeight="1" spans="1:19">
      <c r="A36" s="62"/>
      <c r="B36" s="70" t="s">
        <v>196</v>
      </c>
      <c r="C36" s="70"/>
      <c r="D36" s="70"/>
      <c r="E36" s="70"/>
      <c r="F36" s="70"/>
      <c r="G36" s="70"/>
      <c r="H36" s="70"/>
      <c r="I36" s="70"/>
      <c r="J36" s="70"/>
      <c r="K36" s="70"/>
      <c r="L36" s="70"/>
      <c r="M36" s="70"/>
      <c r="N36" s="70"/>
      <c r="O36" s="70"/>
      <c r="P36" s="70"/>
      <c r="Q36" s="70"/>
      <c r="R36" s="70"/>
      <c r="S36" s="62"/>
    </row>
    <row r="37" s="61" customFormat="1" customHeight="1" spans="1:19">
      <c r="A37" s="62"/>
      <c r="B37" s="71" t="s">
        <v>86</v>
      </c>
      <c r="C37" s="71"/>
      <c r="D37" s="71"/>
      <c r="E37" s="71"/>
      <c r="F37" s="66" t="s">
        <v>195</v>
      </c>
      <c r="G37" s="66"/>
      <c r="H37" s="66"/>
      <c r="I37" s="66"/>
      <c r="J37" s="66"/>
      <c r="K37" s="66"/>
      <c r="L37" s="66"/>
      <c r="M37" s="66"/>
      <c r="N37" s="66"/>
      <c r="O37" s="66"/>
      <c r="P37" s="66"/>
      <c r="Q37" s="66" t="s">
        <v>182</v>
      </c>
      <c r="R37" s="66" t="s">
        <v>92</v>
      </c>
      <c r="S37" s="62"/>
    </row>
    <row r="38" s="61" customFormat="1" customHeight="1" spans="1:19">
      <c r="A38" s="62"/>
      <c r="B38" s="50"/>
      <c r="C38" s="50"/>
      <c r="D38" s="50"/>
      <c r="E38" s="50"/>
      <c r="F38" s="50"/>
      <c r="G38" s="50"/>
      <c r="H38" s="50"/>
      <c r="I38" s="50"/>
      <c r="J38" s="50"/>
      <c r="K38" s="50"/>
      <c r="L38" s="50"/>
      <c r="M38" s="50"/>
      <c r="N38" s="50"/>
      <c r="O38" s="50"/>
      <c r="P38" s="50"/>
      <c r="Q38" s="50"/>
      <c r="R38" s="50"/>
      <c r="S38" s="62"/>
    </row>
    <row r="39" s="61" customFormat="1" customHeight="1" spans="1:19">
      <c r="A39" s="62"/>
      <c r="B39" s="50"/>
      <c r="C39" s="50"/>
      <c r="D39" s="50"/>
      <c r="E39" s="50"/>
      <c r="F39" s="50"/>
      <c r="G39" s="50"/>
      <c r="H39" s="50"/>
      <c r="I39" s="50"/>
      <c r="J39" s="50"/>
      <c r="K39" s="50"/>
      <c r="L39" s="50"/>
      <c r="M39" s="50"/>
      <c r="N39" s="50"/>
      <c r="O39" s="50"/>
      <c r="P39" s="50"/>
      <c r="Q39" s="50"/>
      <c r="R39" s="50"/>
      <c r="S39" s="62"/>
    </row>
    <row r="40" s="61" customFormat="1" customHeight="1" spans="1:19">
      <c r="A40" s="62"/>
      <c r="B40" s="50"/>
      <c r="C40" s="50"/>
      <c r="D40" s="50"/>
      <c r="E40" s="50"/>
      <c r="F40" s="50"/>
      <c r="G40" s="50"/>
      <c r="H40" s="50"/>
      <c r="I40" s="50"/>
      <c r="J40" s="50"/>
      <c r="K40" s="50"/>
      <c r="L40" s="50"/>
      <c r="M40" s="50"/>
      <c r="N40" s="50"/>
      <c r="O40" s="50"/>
      <c r="P40" s="50"/>
      <c r="Q40" s="50"/>
      <c r="R40" s="50"/>
      <c r="S40" s="62"/>
    </row>
    <row r="41" s="61" customFormat="1" customHeight="1" spans="1:19">
      <c r="A41" s="62"/>
      <c r="B41" s="50"/>
      <c r="C41" s="50"/>
      <c r="D41" s="50"/>
      <c r="E41" s="50"/>
      <c r="F41" s="50"/>
      <c r="G41" s="50"/>
      <c r="H41" s="50"/>
      <c r="I41" s="50"/>
      <c r="J41" s="50"/>
      <c r="K41" s="50"/>
      <c r="L41" s="50"/>
      <c r="M41" s="50"/>
      <c r="N41" s="50"/>
      <c r="O41" s="50"/>
      <c r="P41" s="50"/>
      <c r="Q41" s="50"/>
      <c r="R41" s="50"/>
      <c r="S41" s="62"/>
    </row>
    <row r="42" s="61" customFormat="1" customHeight="1" spans="1:19">
      <c r="A42" s="62"/>
      <c r="B42" s="50"/>
      <c r="C42" s="50"/>
      <c r="D42" s="50"/>
      <c r="E42" s="50"/>
      <c r="F42" s="50"/>
      <c r="G42" s="50"/>
      <c r="H42" s="50"/>
      <c r="I42" s="50"/>
      <c r="J42" s="50"/>
      <c r="K42" s="50"/>
      <c r="L42" s="50"/>
      <c r="M42" s="50"/>
      <c r="N42" s="50"/>
      <c r="O42" s="50"/>
      <c r="P42" s="50"/>
      <c r="Q42" s="50"/>
      <c r="R42" s="50"/>
      <c r="S42" s="62"/>
    </row>
    <row r="43" s="61" customFormat="1" customHeight="1" spans="1:19">
      <c r="A43" s="62"/>
      <c r="B43" s="50"/>
      <c r="C43" s="50"/>
      <c r="D43" s="50"/>
      <c r="E43" s="50"/>
      <c r="F43" s="50"/>
      <c r="G43" s="50"/>
      <c r="H43" s="50"/>
      <c r="I43" s="50"/>
      <c r="J43" s="50"/>
      <c r="K43" s="50"/>
      <c r="L43" s="50"/>
      <c r="M43" s="50"/>
      <c r="N43" s="50"/>
      <c r="O43" s="50"/>
      <c r="P43" s="50"/>
      <c r="Q43" s="50"/>
      <c r="R43" s="50"/>
      <c r="S43" s="62"/>
    </row>
    <row r="44" s="61" customFormat="1" customHeight="1" spans="1:19">
      <c r="A44" s="62"/>
      <c r="B44" s="50"/>
      <c r="C44" s="50"/>
      <c r="D44" s="50"/>
      <c r="E44" s="50"/>
      <c r="F44" s="50"/>
      <c r="G44" s="50"/>
      <c r="H44" s="50"/>
      <c r="I44" s="50"/>
      <c r="J44" s="50"/>
      <c r="K44" s="50"/>
      <c r="L44" s="50"/>
      <c r="M44" s="50"/>
      <c r="N44" s="50"/>
      <c r="O44" s="50"/>
      <c r="P44" s="50"/>
      <c r="Q44" s="50"/>
      <c r="R44" s="50"/>
      <c r="S44" s="62"/>
    </row>
    <row r="45" s="61" customFormat="1" customHeight="1" spans="1:19">
      <c r="A45" s="62"/>
      <c r="B45" s="50"/>
      <c r="C45" s="50"/>
      <c r="D45" s="50"/>
      <c r="E45" s="50"/>
      <c r="F45" s="50"/>
      <c r="G45" s="50"/>
      <c r="H45" s="50"/>
      <c r="I45" s="50"/>
      <c r="J45" s="50"/>
      <c r="K45" s="50"/>
      <c r="L45" s="50"/>
      <c r="M45" s="50"/>
      <c r="N45" s="50"/>
      <c r="O45" s="50"/>
      <c r="P45" s="50"/>
      <c r="Q45" s="50"/>
      <c r="R45" s="50"/>
      <c r="S45" s="62"/>
    </row>
    <row r="46" s="61" customFormat="1" customHeight="1" spans="1:19">
      <c r="A46" s="62"/>
      <c r="B46" s="50"/>
      <c r="C46" s="50"/>
      <c r="D46" s="50"/>
      <c r="E46" s="50"/>
      <c r="F46" s="50"/>
      <c r="G46" s="50"/>
      <c r="H46" s="50"/>
      <c r="I46" s="50"/>
      <c r="J46" s="50"/>
      <c r="K46" s="50"/>
      <c r="L46" s="50"/>
      <c r="M46" s="50"/>
      <c r="N46" s="50"/>
      <c r="O46" s="50"/>
      <c r="P46" s="50"/>
      <c r="Q46" s="50"/>
      <c r="R46" s="50"/>
      <c r="S46" s="62"/>
    </row>
    <row r="47" s="61" customFormat="1" customHeight="1" spans="1:19">
      <c r="A47" s="62"/>
      <c r="B47" s="50"/>
      <c r="C47" s="50"/>
      <c r="D47" s="50"/>
      <c r="E47" s="50"/>
      <c r="F47" s="50"/>
      <c r="G47" s="50"/>
      <c r="H47" s="50"/>
      <c r="I47" s="50"/>
      <c r="J47" s="50"/>
      <c r="K47" s="50"/>
      <c r="L47" s="50"/>
      <c r="M47" s="50"/>
      <c r="N47" s="50"/>
      <c r="O47" s="50"/>
      <c r="P47" s="50"/>
      <c r="Q47" s="50"/>
      <c r="R47" s="50"/>
      <c r="S47" s="62"/>
    </row>
    <row r="48" s="61" customFormat="1" customHeight="1" spans="1:19">
      <c r="A48" s="62"/>
      <c r="B48" s="50"/>
      <c r="C48" s="50"/>
      <c r="D48" s="50"/>
      <c r="E48" s="50"/>
      <c r="F48" s="50"/>
      <c r="G48" s="50"/>
      <c r="H48" s="50"/>
      <c r="I48" s="50"/>
      <c r="J48" s="50"/>
      <c r="K48" s="50"/>
      <c r="L48" s="50"/>
      <c r="M48" s="50"/>
      <c r="N48" s="50"/>
      <c r="O48" s="50"/>
      <c r="P48" s="50"/>
      <c r="Q48" s="50"/>
      <c r="R48" s="50"/>
      <c r="S48" s="62"/>
    </row>
    <row r="49" s="61" customFormat="1" customHeight="1" spans="1:19">
      <c r="A49" s="62"/>
      <c r="B49" s="50"/>
      <c r="C49" s="50"/>
      <c r="D49" s="50"/>
      <c r="E49" s="50"/>
      <c r="F49" s="50"/>
      <c r="G49" s="50"/>
      <c r="H49" s="50"/>
      <c r="I49" s="50"/>
      <c r="J49" s="50"/>
      <c r="K49" s="50"/>
      <c r="L49" s="50"/>
      <c r="M49" s="50"/>
      <c r="N49" s="50"/>
      <c r="O49" s="50"/>
      <c r="P49" s="50"/>
      <c r="Q49" s="50"/>
      <c r="R49" s="50"/>
      <c r="S49" s="62"/>
    </row>
    <row r="50" s="61" customFormat="1" customHeight="1" spans="1:19">
      <c r="A50" s="73"/>
      <c r="B50" s="73"/>
      <c r="C50" s="73"/>
      <c r="D50" s="73"/>
      <c r="E50" s="73"/>
      <c r="F50" s="73"/>
      <c r="G50" s="73"/>
      <c r="H50" s="73"/>
      <c r="I50" s="73"/>
      <c r="J50" s="73"/>
      <c r="K50" s="73"/>
      <c r="L50" s="73"/>
      <c r="M50" s="73"/>
      <c r="N50" s="73"/>
      <c r="O50" s="73"/>
      <c r="P50" s="73"/>
      <c r="Q50" s="74">
        <f>SUM(R38:R49)</f>
        <v>0</v>
      </c>
      <c r="R50" s="74"/>
      <c r="S50" s="62"/>
    </row>
    <row r="51" s="61" customFormat="1" customHeight="1" spans="1:19">
      <c r="A51" s="75"/>
      <c r="B51" s="70" t="s">
        <v>197</v>
      </c>
      <c r="C51" s="70"/>
      <c r="D51" s="70"/>
      <c r="E51" s="70"/>
      <c r="F51" s="70"/>
      <c r="G51" s="70"/>
      <c r="H51" s="70"/>
      <c r="I51" s="70"/>
      <c r="J51" s="70"/>
      <c r="K51" s="70"/>
      <c r="L51" s="70"/>
      <c r="M51" s="70"/>
      <c r="N51" s="70"/>
      <c r="O51" s="70"/>
      <c r="P51" s="70"/>
      <c r="Q51" s="70"/>
      <c r="R51" s="70"/>
      <c r="S51" s="75"/>
    </row>
    <row r="52" s="61" customFormat="1" customHeight="1" spans="1:19">
      <c r="A52" s="75"/>
      <c r="B52" s="71" t="s">
        <v>86</v>
      </c>
      <c r="C52" s="71"/>
      <c r="D52" s="71"/>
      <c r="E52" s="71"/>
      <c r="F52" s="66" t="s">
        <v>169</v>
      </c>
      <c r="G52" s="66"/>
      <c r="H52" s="66"/>
      <c r="I52" s="66"/>
      <c r="J52" s="66"/>
      <c r="K52" s="66"/>
      <c r="L52" s="66"/>
      <c r="M52" s="66"/>
      <c r="N52" s="66"/>
      <c r="O52" s="66" t="s">
        <v>198</v>
      </c>
      <c r="P52" s="66" t="s">
        <v>199</v>
      </c>
      <c r="Q52" s="66" t="s">
        <v>182</v>
      </c>
      <c r="R52" s="66" t="s">
        <v>92</v>
      </c>
      <c r="S52" s="75"/>
    </row>
    <row r="53" s="61" customFormat="1" customHeight="1" spans="1:19">
      <c r="A53" s="75"/>
      <c r="B53" s="76" t="s">
        <v>200</v>
      </c>
      <c r="C53" s="50"/>
      <c r="D53" s="50"/>
      <c r="E53" s="50"/>
      <c r="F53" s="68"/>
      <c r="G53" s="50"/>
      <c r="H53" s="50"/>
      <c r="I53" s="50"/>
      <c r="J53" s="50"/>
      <c r="K53" s="50"/>
      <c r="L53" s="50"/>
      <c r="M53" s="50"/>
      <c r="N53" s="50"/>
      <c r="O53" s="77"/>
      <c r="P53" s="77"/>
      <c r="Q53" s="77" t="str">
        <f t="shared" ref="Q53:Q67" si="0">IF(OR(ISBLANK(P53),ISBLANK(O53)),"",P53*O53)</f>
        <v/>
      </c>
      <c r="R53" s="50"/>
      <c r="S53" s="75"/>
    </row>
    <row r="54" s="61" customFormat="1" customHeight="1" spans="1:19">
      <c r="A54" s="75"/>
      <c r="B54" s="76"/>
      <c r="C54" s="50"/>
      <c r="D54" s="50"/>
      <c r="E54" s="50"/>
      <c r="F54" s="68"/>
      <c r="G54" s="50"/>
      <c r="H54" s="50"/>
      <c r="I54" s="50"/>
      <c r="J54" s="50"/>
      <c r="K54" s="50"/>
      <c r="L54" s="50"/>
      <c r="M54" s="50"/>
      <c r="N54" s="50"/>
      <c r="O54" s="77"/>
      <c r="P54" s="77"/>
      <c r="Q54" s="77" t="str">
        <f t="shared" si="0"/>
        <v/>
      </c>
      <c r="R54" s="50"/>
      <c r="S54" s="75"/>
    </row>
    <row r="55" s="61" customFormat="1" customHeight="1" spans="1:19">
      <c r="A55" s="75"/>
      <c r="B55" s="76"/>
      <c r="C55" s="50"/>
      <c r="D55" s="50"/>
      <c r="E55" s="50"/>
      <c r="F55" s="68"/>
      <c r="G55" s="50"/>
      <c r="H55" s="50"/>
      <c r="I55" s="50"/>
      <c r="J55" s="50"/>
      <c r="K55" s="50"/>
      <c r="L55" s="50"/>
      <c r="M55" s="50"/>
      <c r="N55" s="50"/>
      <c r="O55" s="77"/>
      <c r="P55" s="77"/>
      <c r="Q55" s="77" t="str">
        <f t="shared" si="0"/>
        <v/>
      </c>
      <c r="R55" s="50"/>
      <c r="S55" s="75"/>
    </row>
    <row r="56" s="61" customFormat="1" customHeight="1" spans="1:19">
      <c r="A56" s="75"/>
      <c r="B56" s="76"/>
      <c r="C56" s="50"/>
      <c r="D56" s="50"/>
      <c r="E56" s="50"/>
      <c r="F56" s="68"/>
      <c r="G56" s="50"/>
      <c r="H56" s="50"/>
      <c r="I56" s="50"/>
      <c r="J56" s="50"/>
      <c r="K56" s="50"/>
      <c r="L56" s="50"/>
      <c r="M56" s="50"/>
      <c r="N56" s="50"/>
      <c r="O56" s="77"/>
      <c r="P56" s="77"/>
      <c r="Q56" s="77" t="str">
        <f t="shared" si="0"/>
        <v/>
      </c>
      <c r="R56" s="50"/>
      <c r="S56" s="75"/>
    </row>
    <row r="57" s="61" customFormat="1" customHeight="1" spans="1:19">
      <c r="A57" s="75"/>
      <c r="B57" s="76"/>
      <c r="C57" s="50"/>
      <c r="D57" s="50"/>
      <c r="E57" s="50"/>
      <c r="F57" s="68"/>
      <c r="G57" s="50"/>
      <c r="H57" s="50"/>
      <c r="I57" s="50"/>
      <c r="J57" s="50"/>
      <c r="K57" s="50"/>
      <c r="L57" s="50"/>
      <c r="M57" s="50"/>
      <c r="N57" s="50"/>
      <c r="O57" s="77"/>
      <c r="P57" s="77"/>
      <c r="Q57" s="77" t="str">
        <f t="shared" si="0"/>
        <v/>
      </c>
      <c r="R57" s="50"/>
      <c r="S57" s="75"/>
    </row>
    <row r="58" s="61" customFormat="1" customHeight="1" spans="1:19">
      <c r="A58" s="75"/>
      <c r="B58" s="76"/>
      <c r="C58" s="50"/>
      <c r="D58" s="50"/>
      <c r="E58" s="50"/>
      <c r="F58" s="68"/>
      <c r="G58" s="50"/>
      <c r="H58" s="50"/>
      <c r="I58" s="50"/>
      <c r="J58" s="50"/>
      <c r="K58" s="50"/>
      <c r="L58" s="50"/>
      <c r="M58" s="50"/>
      <c r="N58" s="50"/>
      <c r="O58" s="77"/>
      <c r="P58" s="77"/>
      <c r="Q58" s="77" t="str">
        <f t="shared" si="0"/>
        <v/>
      </c>
      <c r="R58" s="50"/>
      <c r="S58" s="75"/>
    </row>
    <row r="59" s="61" customFormat="1" customHeight="1" spans="1:19">
      <c r="A59" s="75"/>
      <c r="B59" s="76"/>
      <c r="C59" s="50"/>
      <c r="D59" s="50"/>
      <c r="E59" s="50"/>
      <c r="F59" s="50"/>
      <c r="G59" s="50"/>
      <c r="H59" s="50"/>
      <c r="I59" s="50"/>
      <c r="J59" s="50"/>
      <c r="K59" s="50"/>
      <c r="L59" s="50"/>
      <c r="M59" s="50"/>
      <c r="N59" s="50"/>
      <c r="O59" s="77"/>
      <c r="P59" s="77"/>
      <c r="Q59" s="77" t="str">
        <f t="shared" si="0"/>
        <v/>
      </c>
      <c r="R59" s="50"/>
      <c r="S59" s="75"/>
    </row>
    <row r="60" s="61" customFormat="1" customHeight="1" spans="1:19">
      <c r="A60" s="75"/>
      <c r="B60" s="76"/>
      <c r="C60" s="50"/>
      <c r="D60" s="50"/>
      <c r="E60" s="50"/>
      <c r="F60" s="68"/>
      <c r="G60" s="50"/>
      <c r="H60" s="50"/>
      <c r="I60" s="50"/>
      <c r="J60" s="50"/>
      <c r="K60" s="50"/>
      <c r="L60" s="50"/>
      <c r="M60" s="50"/>
      <c r="N60" s="50"/>
      <c r="O60" s="77"/>
      <c r="P60" s="77"/>
      <c r="Q60" s="77" t="str">
        <f t="shared" si="0"/>
        <v/>
      </c>
      <c r="R60" s="50"/>
      <c r="S60" s="75"/>
    </row>
    <row r="61" s="61" customFormat="1" customHeight="1" spans="1:19">
      <c r="A61" s="75"/>
      <c r="B61" s="76"/>
      <c r="C61" s="50"/>
      <c r="D61" s="50"/>
      <c r="E61" s="50"/>
      <c r="F61" s="50"/>
      <c r="G61" s="50"/>
      <c r="H61" s="50"/>
      <c r="I61" s="50"/>
      <c r="J61" s="50"/>
      <c r="K61" s="50"/>
      <c r="L61" s="50"/>
      <c r="M61" s="50"/>
      <c r="N61" s="50"/>
      <c r="O61" s="77"/>
      <c r="P61" s="77"/>
      <c r="Q61" s="77" t="str">
        <f t="shared" si="0"/>
        <v/>
      </c>
      <c r="R61" s="50"/>
      <c r="S61" s="75"/>
    </row>
    <row r="62" s="61" customFormat="1" customHeight="1" spans="1:19">
      <c r="A62" s="75"/>
      <c r="B62" s="76"/>
      <c r="C62" s="50"/>
      <c r="D62" s="50"/>
      <c r="E62" s="50"/>
      <c r="F62" s="50"/>
      <c r="G62" s="50"/>
      <c r="H62" s="50"/>
      <c r="I62" s="50"/>
      <c r="J62" s="50"/>
      <c r="K62" s="50"/>
      <c r="L62" s="50"/>
      <c r="M62" s="50"/>
      <c r="N62" s="50"/>
      <c r="O62" s="77"/>
      <c r="P62" s="77"/>
      <c r="Q62" s="77" t="str">
        <f t="shared" si="0"/>
        <v/>
      </c>
      <c r="R62" s="50"/>
      <c r="S62" s="75"/>
    </row>
    <row r="63" s="61" customFormat="1" customHeight="1" spans="1:19">
      <c r="A63" s="75"/>
      <c r="B63" s="76"/>
      <c r="C63" s="50"/>
      <c r="D63" s="50"/>
      <c r="E63" s="50"/>
      <c r="F63" s="50"/>
      <c r="G63" s="50"/>
      <c r="H63" s="50"/>
      <c r="I63" s="50"/>
      <c r="J63" s="50"/>
      <c r="K63" s="50"/>
      <c r="L63" s="50"/>
      <c r="M63" s="50"/>
      <c r="N63" s="50"/>
      <c r="O63" s="77"/>
      <c r="P63" s="77"/>
      <c r="Q63" s="77" t="str">
        <f t="shared" si="0"/>
        <v/>
      </c>
      <c r="R63" s="50"/>
      <c r="S63" s="75"/>
    </row>
    <row r="64" s="61" customFormat="1" customHeight="1" spans="1:19">
      <c r="A64" s="75"/>
      <c r="B64" s="76"/>
      <c r="C64" s="50"/>
      <c r="D64" s="50"/>
      <c r="E64" s="50"/>
      <c r="F64" s="50"/>
      <c r="G64" s="50"/>
      <c r="H64" s="50"/>
      <c r="I64" s="50"/>
      <c r="J64" s="50"/>
      <c r="K64" s="50"/>
      <c r="L64" s="50"/>
      <c r="M64" s="50"/>
      <c r="N64" s="50"/>
      <c r="O64" s="77"/>
      <c r="P64" s="77"/>
      <c r="Q64" s="77" t="str">
        <f t="shared" si="0"/>
        <v/>
      </c>
      <c r="R64" s="50"/>
      <c r="S64" s="75"/>
    </row>
    <row r="65" s="61" customFormat="1" customHeight="1" spans="1:19">
      <c r="A65" s="75"/>
      <c r="B65" s="76"/>
      <c r="C65" s="50"/>
      <c r="D65" s="50"/>
      <c r="E65" s="50"/>
      <c r="F65" s="50"/>
      <c r="G65" s="50"/>
      <c r="H65" s="50"/>
      <c r="I65" s="50"/>
      <c r="J65" s="50"/>
      <c r="K65" s="50"/>
      <c r="L65" s="50"/>
      <c r="M65" s="50"/>
      <c r="N65" s="50"/>
      <c r="O65" s="77"/>
      <c r="P65" s="77"/>
      <c r="Q65" s="77" t="str">
        <f t="shared" si="0"/>
        <v/>
      </c>
      <c r="R65" s="50"/>
      <c r="S65" s="75"/>
    </row>
    <row r="66" s="61" customFormat="1" customHeight="1" spans="1:19">
      <c r="A66" s="75"/>
      <c r="B66" s="76"/>
      <c r="C66" s="50"/>
      <c r="D66" s="50"/>
      <c r="E66" s="50"/>
      <c r="F66" s="50"/>
      <c r="G66" s="50"/>
      <c r="H66" s="50"/>
      <c r="I66" s="50"/>
      <c r="J66" s="50"/>
      <c r="K66" s="50"/>
      <c r="L66" s="50"/>
      <c r="M66" s="50"/>
      <c r="N66" s="50"/>
      <c r="O66" s="77"/>
      <c r="P66" s="77"/>
      <c r="Q66" s="77" t="str">
        <f t="shared" si="0"/>
        <v/>
      </c>
      <c r="R66" s="50"/>
      <c r="S66" s="75"/>
    </row>
    <row r="67" s="61" customFormat="1" customHeight="1" spans="1:19">
      <c r="A67" s="75"/>
      <c r="B67" s="76"/>
      <c r="C67" s="50"/>
      <c r="D67" s="50"/>
      <c r="E67" s="50"/>
      <c r="F67" s="50"/>
      <c r="G67" s="50"/>
      <c r="H67" s="50"/>
      <c r="I67" s="50"/>
      <c r="J67" s="50"/>
      <c r="K67" s="50"/>
      <c r="L67" s="50"/>
      <c r="M67" s="50"/>
      <c r="N67" s="50"/>
      <c r="O67" s="77"/>
      <c r="P67" s="77"/>
      <c r="Q67" s="77" t="str">
        <f t="shared" si="0"/>
        <v/>
      </c>
      <c r="R67" s="50"/>
      <c r="S67" s="75"/>
    </row>
    <row r="68" s="61" customFormat="1" customHeight="1" spans="1:19">
      <c r="A68" s="75"/>
      <c r="B68" s="75"/>
      <c r="C68" s="75"/>
      <c r="D68" s="75"/>
      <c r="E68" s="75"/>
      <c r="F68" s="75"/>
      <c r="G68" s="75"/>
      <c r="H68" s="75"/>
      <c r="I68" s="75"/>
      <c r="J68" s="75"/>
      <c r="K68" s="75"/>
      <c r="L68" s="75"/>
      <c r="M68" s="75"/>
      <c r="N68" s="75"/>
      <c r="O68" s="75"/>
      <c r="P68" s="75"/>
      <c r="Q68" s="74">
        <f>SUM(R53:R67)</f>
        <v>0</v>
      </c>
      <c r="R68" s="74"/>
      <c r="S68" s="75"/>
    </row>
    <row r="69" s="61" customFormat="1" customHeight="1" spans="1:19">
      <c r="A69" s="75"/>
      <c r="B69" s="70" t="s">
        <v>201</v>
      </c>
      <c r="C69" s="70"/>
      <c r="D69" s="70"/>
      <c r="E69" s="70"/>
      <c r="F69" s="70"/>
      <c r="G69" s="70"/>
      <c r="H69" s="70"/>
      <c r="I69" s="70"/>
      <c r="J69" s="70"/>
      <c r="K69" s="70"/>
      <c r="L69" s="70"/>
      <c r="M69" s="70"/>
      <c r="N69" s="70"/>
      <c r="O69" s="70"/>
      <c r="P69" s="70"/>
      <c r="Q69" s="70"/>
      <c r="R69" s="70"/>
      <c r="S69" s="75"/>
    </row>
    <row r="70" s="61" customFormat="1" customHeight="1" spans="1:19">
      <c r="A70" s="75"/>
      <c r="B70" s="71" t="s">
        <v>202</v>
      </c>
      <c r="C70" s="71"/>
      <c r="D70" s="71"/>
      <c r="E70" s="71"/>
      <c r="F70" s="78" t="s">
        <v>30</v>
      </c>
      <c r="G70" s="78"/>
      <c r="H70" s="78" t="s">
        <v>31</v>
      </c>
      <c r="I70" s="71" t="s">
        <v>32</v>
      </c>
      <c r="J70" s="71" t="s">
        <v>34</v>
      </c>
      <c r="K70" s="71" t="s">
        <v>37</v>
      </c>
      <c r="L70" s="78" t="s">
        <v>38</v>
      </c>
      <c r="M70" s="71" t="s">
        <v>39</v>
      </c>
      <c r="N70" s="78" t="s">
        <v>33</v>
      </c>
      <c r="O70" s="78"/>
      <c r="P70" s="79"/>
      <c r="Q70" s="79"/>
      <c r="R70" s="79"/>
      <c r="S70" s="75"/>
    </row>
    <row r="71" s="61" customFormat="1" customHeight="1" spans="1:19">
      <c r="A71" s="75"/>
      <c r="B71" s="50"/>
      <c r="C71" s="50"/>
      <c r="D71" s="50"/>
      <c r="E71" s="50"/>
      <c r="F71" s="78" t="s">
        <v>203</v>
      </c>
      <c r="G71" s="78"/>
      <c r="H71" s="80"/>
      <c r="I71" s="81">
        <v>1</v>
      </c>
      <c r="J71" s="79"/>
      <c r="K71" s="81"/>
      <c r="L71" s="71">
        <f t="shared" ref="L71:L79" si="1">H71+J71-K71</f>
        <v>0</v>
      </c>
      <c r="M71" s="82">
        <f t="shared" ref="M71:M79" si="2">INT(L71/10)*I71</f>
        <v>0</v>
      </c>
      <c r="N71" s="83"/>
      <c r="O71" s="83"/>
      <c r="P71" s="83"/>
      <c r="Q71" s="83"/>
      <c r="R71" s="83"/>
      <c r="S71" s="75"/>
    </row>
    <row r="72" s="61" customFormat="1" customHeight="1" spans="1:19">
      <c r="A72" s="75"/>
      <c r="B72" s="71" t="s">
        <v>204</v>
      </c>
      <c r="C72" s="71"/>
      <c r="D72" s="71"/>
      <c r="E72" s="71"/>
      <c r="F72" s="78" t="s">
        <v>205</v>
      </c>
      <c r="G72" s="78"/>
      <c r="H72" s="80"/>
      <c r="I72" s="81">
        <v>1</v>
      </c>
      <c r="J72" s="79"/>
      <c r="K72" s="81"/>
      <c r="L72" s="71">
        <f t="shared" si="1"/>
        <v>0</v>
      </c>
      <c r="M72" s="82">
        <f t="shared" si="2"/>
        <v>0</v>
      </c>
      <c r="N72" s="83"/>
      <c r="O72" s="83"/>
      <c r="P72" s="83"/>
      <c r="Q72" s="83"/>
      <c r="R72" s="83"/>
      <c r="S72" s="75"/>
    </row>
    <row r="73" s="61" customFormat="1" customHeight="1" spans="1:19">
      <c r="A73" s="75"/>
      <c r="B73" s="50"/>
      <c r="C73" s="50"/>
      <c r="D73" s="50"/>
      <c r="E73" s="50"/>
      <c r="F73" s="78" t="s">
        <v>206</v>
      </c>
      <c r="G73" s="78"/>
      <c r="H73" s="80"/>
      <c r="I73" s="81">
        <v>1</v>
      </c>
      <c r="J73" s="79"/>
      <c r="K73" s="81"/>
      <c r="L73" s="71">
        <f t="shared" si="1"/>
        <v>0</v>
      </c>
      <c r="M73" s="82">
        <f t="shared" si="2"/>
        <v>0</v>
      </c>
      <c r="N73" s="83"/>
      <c r="O73" s="83"/>
      <c r="P73" s="83"/>
      <c r="Q73" s="83"/>
      <c r="R73" s="83"/>
      <c r="S73" s="75"/>
    </row>
    <row r="74" s="61" customFormat="1" customHeight="1" spans="1:19">
      <c r="A74" s="75"/>
      <c r="B74" s="71" t="s">
        <v>207</v>
      </c>
      <c r="C74" s="71"/>
      <c r="D74" s="71"/>
      <c r="E74" s="71"/>
      <c r="F74" s="78" t="s">
        <v>208</v>
      </c>
      <c r="G74" s="78"/>
      <c r="H74" s="80"/>
      <c r="I74" s="81">
        <v>1</v>
      </c>
      <c r="J74" s="79"/>
      <c r="K74" s="81"/>
      <c r="L74" s="71">
        <f t="shared" si="1"/>
        <v>0</v>
      </c>
      <c r="M74" s="82">
        <f t="shared" si="2"/>
        <v>0</v>
      </c>
      <c r="N74" s="83"/>
      <c r="O74" s="83"/>
      <c r="P74" s="83"/>
      <c r="Q74" s="83"/>
      <c r="R74" s="83"/>
      <c r="S74" s="75"/>
    </row>
    <row r="75" s="61" customFormat="1" customHeight="1" spans="1:19">
      <c r="A75" s="75"/>
      <c r="B75" s="50"/>
      <c r="C75" s="50"/>
      <c r="D75" s="50"/>
      <c r="E75" s="50"/>
      <c r="F75" s="78" t="s">
        <v>209</v>
      </c>
      <c r="G75" s="78"/>
      <c r="H75" s="80"/>
      <c r="I75" s="81">
        <v>1</v>
      </c>
      <c r="J75" s="79"/>
      <c r="K75" s="81"/>
      <c r="L75" s="71">
        <f t="shared" si="1"/>
        <v>0</v>
      </c>
      <c r="M75" s="82">
        <f t="shared" si="2"/>
        <v>0</v>
      </c>
      <c r="N75" s="83"/>
      <c r="O75" s="83"/>
      <c r="P75" s="83"/>
      <c r="Q75" s="83"/>
      <c r="R75" s="83"/>
      <c r="S75" s="75"/>
    </row>
    <row r="76" s="61" customFormat="1" customHeight="1" spans="1:19">
      <c r="A76" s="75"/>
      <c r="B76" s="50"/>
      <c r="C76" s="50"/>
      <c r="D76" s="50"/>
      <c r="E76" s="50"/>
      <c r="F76" s="78" t="s">
        <v>210</v>
      </c>
      <c r="G76" s="78"/>
      <c r="H76" s="80"/>
      <c r="I76" s="81">
        <v>1</v>
      </c>
      <c r="J76" s="79"/>
      <c r="K76" s="81"/>
      <c r="L76" s="71">
        <f t="shared" si="1"/>
        <v>0</v>
      </c>
      <c r="M76" s="82">
        <f t="shared" si="2"/>
        <v>0</v>
      </c>
      <c r="N76" s="83"/>
      <c r="O76" s="83"/>
      <c r="P76" s="83"/>
      <c r="Q76" s="83"/>
      <c r="R76" s="83"/>
      <c r="S76" s="75"/>
    </row>
    <row r="77" s="61" customFormat="1" customHeight="1" spans="1:19">
      <c r="A77" s="75"/>
      <c r="B77" s="50"/>
      <c r="C77" s="50"/>
      <c r="D77" s="50"/>
      <c r="E77" s="50"/>
      <c r="F77" s="78" t="s">
        <v>211</v>
      </c>
      <c r="G77" s="78"/>
      <c r="H77" s="80"/>
      <c r="I77" s="81">
        <v>1</v>
      </c>
      <c r="J77" s="79"/>
      <c r="K77" s="81"/>
      <c r="L77" s="71">
        <f t="shared" si="1"/>
        <v>0</v>
      </c>
      <c r="M77" s="82">
        <f t="shared" si="2"/>
        <v>0</v>
      </c>
      <c r="N77" s="83"/>
      <c r="O77" s="83"/>
      <c r="P77" s="83"/>
      <c r="Q77" s="83"/>
      <c r="R77" s="83"/>
      <c r="S77" s="75"/>
    </row>
    <row r="78" s="61" customFormat="1" customHeight="1" spans="1:19">
      <c r="A78" s="75"/>
      <c r="B78" s="50"/>
      <c r="C78" s="50"/>
      <c r="D78" s="50"/>
      <c r="E78" s="50"/>
      <c r="F78" s="78" t="s">
        <v>212</v>
      </c>
      <c r="G78" s="78"/>
      <c r="H78" s="80"/>
      <c r="I78" s="81">
        <v>1</v>
      </c>
      <c r="J78" s="79"/>
      <c r="K78" s="81"/>
      <c r="L78" s="71">
        <f t="shared" si="1"/>
        <v>0</v>
      </c>
      <c r="M78" s="82">
        <f t="shared" si="2"/>
        <v>0</v>
      </c>
      <c r="N78" s="83"/>
      <c r="O78" s="83"/>
      <c r="P78" s="83"/>
      <c r="Q78" s="83"/>
      <c r="R78" s="83"/>
      <c r="S78" s="75"/>
    </row>
    <row r="79" s="61" customFormat="1" customHeight="1" spans="1:19">
      <c r="A79" s="75"/>
      <c r="B79" s="50"/>
      <c r="C79" s="50"/>
      <c r="D79" s="50"/>
      <c r="E79" s="50"/>
      <c r="F79" s="78" t="s">
        <v>213</v>
      </c>
      <c r="G79" s="78"/>
      <c r="H79" s="80"/>
      <c r="I79" s="81">
        <v>1</v>
      </c>
      <c r="J79" s="79"/>
      <c r="K79" s="81"/>
      <c r="L79" s="71">
        <f t="shared" si="1"/>
        <v>0</v>
      </c>
      <c r="M79" s="82">
        <f t="shared" si="2"/>
        <v>0</v>
      </c>
      <c r="N79" s="83"/>
      <c r="O79" s="83"/>
      <c r="P79" s="83"/>
      <c r="Q79" s="83"/>
      <c r="R79" s="83"/>
      <c r="S79" s="75"/>
    </row>
    <row r="80" s="61" customFormat="1" customHeight="1" spans="1:19">
      <c r="A80" s="75"/>
      <c r="B80" s="50"/>
      <c r="C80" s="50"/>
      <c r="D80" s="50"/>
      <c r="E80" s="50"/>
      <c r="F80" s="64" t="s">
        <v>54</v>
      </c>
      <c r="G80" s="64"/>
      <c r="H80" s="79"/>
      <c r="I80" s="79"/>
      <c r="J80" s="79"/>
      <c r="K80" s="64" t="s">
        <v>214</v>
      </c>
      <c r="L80" s="64"/>
      <c r="M80" s="79"/>
      <c r="N80" s="79"/>
      <c r="O80" s="64" t="s">
        <v>126</v>
      </c>
      <c r="P80" s="64"/>
      <c r="Q80" s="79"/>
      <c r="R80" s="79"/>
      <c r="S80" s="75"/>
    </row>
    <row r="81" s="61" customFormat="1" customHeight="1" spans="1:19">
      <c r="A81" s="75"/>
      <c r="B81" s="66" t="s">
        <v>82</v>
      </c>
      <c r="C81" s="66"/>
      <c r="D81" s="84"/>
      <c r="E81" s="77"/>
      <c r="F81" s="77"/>
      <c r="G81" s="77"/>
      <c r="H81" s="77"/>
      <c r="I81" s="77"/>
      <c r="J81" s="77"/>
      <c r="K81" s="77"/>
      <c r="L81" s="77"/>
      <c r="M81" s="77"/>
      <c r="N81" s="77"/>
      <c r="O81" s="77"/>
      <c r="P81" s="77"/>
      <c r="Q81" s="77"/>
      <c r="R81" s="77"/>
      <c r="S81" s="75"/>
    </row>
    <row r="82" s="61" customFormat="1" customHeight="1" spans="1:19">
      <c r="A82" s="75"/>
      <c r="B82" s="66"/>
      <c r="C82" s="66"/>
      <c r="D82" s="77"/>
      <c r="E82" s="77"/>
      <c r="F82" s="77"/>
      <c r="G82" s="77"/>
      <c r="H82" s="77"/>
      <c r="I82" s="77"/>
      <c r="J82" s="77"/>
      <c r="K82" s="77"/>
      <c r="L82" s="77"/>
      <c r="M82" s="77"/>
      <c r="N82" s="77"/>
      <c r="O82" s="77"/>
      <c r="P82" s="77"/>
      <c r="Q82" s="77"/>
      <c r="R82" s="77"/>
      <c r="S82" s="75"/>
    </row>
    <row r="83" s="61" customFormat="1" customHeight="1" spans="1:19">
      <c r="A83" s="75"/>
      <c r="B83" s="66" t="s">
        <v>83</v>
      </c>
      <c r="C83" s="66"/>
      <c r="D83" s="77"/>
      <c r="E83" s="77"/>
      <c r="F83" s="77"/>
      <c r="G83" s="77"/>
      <c r="H83" s="77"/>
      <c r="I83" s="77"/>
      <c r="J83" s="77"/>
      <c r="K83" s="77"/>
      <c r="L83" s="77"/>
      <c r="M83" s="77"/>
      <c r="N83" s="77"/>
      <c r="O83" s="77"/>
      <c r="P83" s="77"/>
      <c r="Q83" s="77"/>
      <c r="R83" s="77"/>
      <c r="S83" s="75"/>
    </row>
    <row r="84" s="61" customFormat="1" customHeight="1" spans="1:19">
      <c r="A84" s="75"/>
      <c r="B84" s="66"/>
      <c r="C84" s="66"/>
      <c r="D84" s="77"/>
      <c r="E84" s="77"/>
      <c r="F84" s="77"/>
      <c r="G84" s="77"/>
      <c r="H84" s="77"/>
      <c r="I84" s="77"/>
      <c r="J84" s="77"/>
      <c r="K84" s="77"/>
      <c r="L84" s="77"/>
      <c r="M84" s="77"/>
      <c r="N84" s="77"/>
      <c r="O84" s="77"/>
      <c r="P84" s="77"/>
      <c r="Q84" s="77"/>
      <c r="R84" s="77"/>
      <c r="S84" s="75"/>
    </row>
    <row r="85" s="61" customFormat="1" customHeight="1" spans="1:19">
      <c r="A85" s="75"/>
      <c r="B85" s="66" t="s">
        <v>181</v>
      </c>
      <c r="C85" s="66"/>
      <c r="D85" s="84"/>
      <c r="E85" s="84"/>
      <c r="F85" s="84"/>
      <c r="G85" s="84"/>
      <c r="H85" s="84"/>
      <c r="I85" s="84"/>
      <c r="J85" s="84"/>
      <c r="K85" s="84"/>
      <c r="L85" s="84"/>
      <c r="M85" s="84"/>
      <c r="N85" s="84"/>
      <c r="O85" s="84"/>
      <c r="P85" s="84"/>
      <c r="Q85" s="84"/>
      <c r="R85" s="84"/>
      <c r="S85" s="75"/>
    </row>
    <row r="86" s="61" customFormat="1" customHeight="1" spans="1:19">
      <c r="A86" s="75"/>
      <c r="B86" s="66"/>
      <c r="C86" s="66"/>
      <c r="D86" s="84"/>
      <c r="E86" s="84"/>
      <c r="F86" s="84"/>
      <c r="G86" s="84"/>
      <c r="H86" s="84"/>
      <c r="I86" s="84"/>
      <c r="J86" s="84"/>
      <c r="K86" s="84"/>
      <c r="L86" s="84"/>
      <c r="M86" s="84"/>
      <c r="N86" s="84"/>
      <c r="O86" s="84"/>
      <c r="P86" s="84"/>
      <c r="Q86" s="84"/>
      <c r="R86" s="84"/>
      <c r="S86" s="75"/>
    </row>
    <row r="87" s="61" customFormat="1" customHeight="1" spans="1:19">
      <c r="A87" s="75"/>
      <c r="B87" s="66" t="s">
        <v>215</v>
      </c>
      <c r="C87" s="66"/>
      <c r="D87" s="84"/>
      <c r="E87" s="84"/>
      <c r="F87" s="84"/>
      <c r="G87" s="84"/>
      <c r="H87" s="84"/>
      <c r="I87" s="84"/>
      <c r="J87" s="84"/>
      <c r="K87" s="84"/>
      <c r="L87" s="84"/>
      <c r="M87" s="84"/>
      <c r="N87" s="84"/>
      <c r="O87" s="84"/>
      <c r="P87" s="84"/>
      <c r="Q87" s="84"/>
      <c r="R87" s="84"/>
      <c r="S87" s="75"/>
    </row>
    <row r="88" s="61" customFormat="1" customHeight="1" spans="1:19">
      <c r="A88" s="75"/>
      <c r="B88" s="66"/>
      <c r="C88" s="66"/>
      <c r="D88" s="84"/>
      <c r="E88" s="84"/>
      <c r="F88" s="84"/>
      <c r="G88" s="84"/>
      <c r="H88" s="84"/>
      <c r="I88" s="84"/>
      <c r="J88" s="84"/>
      <c r="K88" s="84"/>
      <c r="L88" s="84"/>
      <c r="M88" s="84"/>
      <c r="N88" s="84"/>
      <c r="O88" s="84"/>
      <c r="P88" s="84"/>
      <c r="Q88" s="84"/>
      <c r="R88" s="84"/>
      <c r="S88" s="75"/>
    </row>
    <row r="89" s="61" customFormat="1" customHeight="1" spans="1:19">
      <c r="A89" s="75"/>
      <c r="B89" s="66" t="s">
        <v>216</v>
      </c>
      <c r="C89" s="66"/>
      <c r="D89" s="66"/>
      <c r="E89" s="66"/>
      <c r="F89" s="66"/>
      <c r="G89" s="66"/>
      <c r="H89" s="66"/>
      <c r="I89" s="66"/>
      <c r="J89" s="66"/>
      <c r="K89" s="66"/>
      <c r="L89" s="66"/>
      <c r="M89" s="66"/>
      <c r="N89" s="66"/>
      <c r="O89" s="66"/>
      <c r="P89" s="66"/>
      <c r="Q89" s="66"/>
      <c r="R89" s="66"/>
      <c r="S89" s="75"/>
    </row>
    <row r="90" s="61" customFormat="1" customHeight="1" spans="1:19">
      <c r="A90" s="75"/>
      <c r="B90" s="50"/>
      <c r="C90" s="50"/>
      <c r="D90" s="50"/>
      <c r="E90" s="50"/>
      <c r="F90" s="50"/>
      <c r="G90" s="50"/>
      <c r="H90" s="50"/>
      <c r="I90" s="50"/>
      <c r="J90" s="50"/>
      <c r="K90" s="50"/>
      <c r="L90" s="50"/>
      <c r="M90" s="50"/>
      <c r="N90" s="50"/>
      <c r="O90" s="50"/>
      <c r="P90" s="50"/>
      <c r="Q90" s="50"/>
      <c r="R90" s="50"/>
      <c r="S90" s="75"/>
    </row>
    <row r="91" s="61" customFormat="1" customHeight="1" spans="1:19">
      <c r="A91" s="75"/>
      <c r="B91" s="50"/>
      <c r="C91" s="50"/>
      <c r="D91" s="50"/>
      <c r="E91" s="50"/>
      <c r="F91" s="50"/>
      <c r="G91" s="50"/>
      <c r="H91" s="50"/>
      <c r="I91" s="50"/>
      <c r="J91" s="50"/>
      <c r="K91" s="50"/>
      <c r="L91" s="50"/>
      <c r="M91" s="50"/>
      <c r="N91" s="50"/>
      <c r="O91" s="50"/>
      <c r="P91" s="50"/>
      <c r="Q91" s="50"/>
      <c r="R91" s="50"/>
      <c r="S91" s="75"/>
    </row>
    <row r="92" s="61" customFormat="1" customHeight="1" spans="1:19">
      <c r="A92" s="75"/>
      <c r="B92" s="75"/>
      <c r="C92" s="75"/>
      <c r="D92" s="75"/>
      <c r="E92" s="75"/>
      <c r="F92" s="75"/>
      <c r="G92" s="75"/>
      <c r="H92" s="75"/>
      <c r="I92" s="75"/>
      <c r="J92" s="75"/>
      <c r="K92" s="75"/>
      <c r="L92" s="75"/>
      <c r="M92" s="75"/>
      <c r="N92" s="75"/>
      <c r="O92" s="75"/>
      <c r="P92" s="75"/>
      <c r="Q92" s="75"/>
      <c r="R92" s="75"/>
      <c r="S92" s="75"/>
    </row>
    <row r="93" s="61" customFormat="1" customHeight="1" spans="1:19">
      <c r="A93" s="75"/>
      <c r="B93" s="70" t="s">
        <v>217</v>
      </c>
      <c r="C93" s="70"/>
      <c r="D93" s="70"/>
      <c r="E93" s="70"/>
      <c r="F93" s="70"/>
      <c r="G93" s="70"/>
      <c r="H93" s="70"/>
      <c r="I93" s="70"/>
      <c r="J93" s="70"/>
      <c r="K93" s="70"/>
      <c r="L93" s="70"/>
      <c r="M93" s="70"/>
      <c r="N93" s="70"/>
      <c r="O93" s="70"/>
      <c r="P93" s="70"/>
      <c r="Q93" s="70"/>
      <c r="R93" s="70"/>
      <c r="S93" s="75"/>
    </row>
    <row r="94" s="61" customFormat="1" customHeight="1" spans="1:19">
      <c r="A94" s="75"/>
      <c r="B94" s="71" t="s">
        <v>86</v>
      </c>
      <c r="C94" s="71"/>
      <c r="D94" s="71"/>
      <c r="E94" s="71"/>
      <c r="F94" s="66" t="s">
        <v>165</v>
      </c>
      <c r="G94" s="66"/>
      <c r="H94" s="66"/>
      <c r="I94" s="66"/>
      <c r="J94" s="66"/>
      <c r="K94" s="66"/>
      <c r="L94" s="66"/>
      <c r="M94" s="66"/>
      <c r="N94" s="66"/>
      <c r="O94" s="66"/>
      <c r="P94" s="66"/>
      <c r="Q94" s="66"/>
      <c r="R94" s="66"/>
      <c r="S94" s="75"/>
    </row>
    <row r="95" s="61" customFormat="1" customHeight="1" spans="1:19">
      <c r="A95" s="75"/>
      <c r="B95" s="50"/>
      <c r="C95" s="50"/>
      <c r="D95" s="50"/>
      <c r="E95" s="50"/>
      <c r="F95" s="50"/>
      <c r="G95" s="50"/>
      <c r="H95" s="50"/>
      <c r="I95" s="50"/>
      <c r="J95" s="50"/>
      <c r="K95" s="50"/>
      <c r="L95" s="50"/>
      <c r="M95" s="50"/>
      <c r="N95" s="50"/>
      <c r="O95" s="50"/>
      <c r="P95" s="50"/>
      <c r="Q95" s="50"/>
      <c r="R95" s="50"/>
      <c r="S95" s="75"/>
    </row>
    <row r="96" s="61" customFormat="1" customHeight="1" spans="1:19">
      <c r="A96" s="75"/>
      <c r="B96" s="50"/>
      <c r="C96" s="50"/>
      <c r="D96" s="50"/>
      <c r="E96" s="50"/>
      <c r="F96" s="50"/>
      <c r="G96" s="50"/>
      <c r="H96" s="50"/>
      <c r="I96" s="50"/>
      <c r="J96" s="50"/>
      <c r="K96" s="50"/>
      <c r="L96" s="50"/>
      <c r="M96" s="50"/>
      <c r="N96" s="50"/>
      <c r="O96" s="50"/>
      <c r="P96" s="50"/>
      <c r="Q96" s="50"/>
      <c r="R96" s="50"/>
      <c r="S96" s="75"/>
    </row>
    <row r="97" s="61" customFormat="1" customHeight="1" spans="1:19">
      <c r="A97" s="75"/>
      <c r="B97" s="50"/>
      <c r="C97" s="50"/>
      <c r="D97" s="50"/>
      <c r="E97" s="50"/>
      <c r="F97" s="50"/>
      <c r="G97" s="50"/>
      <c r="H97" s="50"/>
      <c r="I97" s="50"/>
      <c r="J97" s="50"/>
      <c r="K97" s="50"/>
      <c r="L97" s="50"/>
      <c r="M97" s="50"/>
      <c r="N97" s="50"/>
      <c r="O97" s="50"/>
      <c r="P97" s="50"/>
      <c r="Q97" s="50"/>
      <c r="R97" s="50"/>
      <c r="S97" s="75"/>
    </row>
    <row r="98" s="61" customFormat="1" customHeight="1" spans="1:19">
      <c r="A98" s="75"/>
      <c r="B98" s="50"/>
      <c r="C98" s="50"/>
      <c r="D98" s="50"/>
      <c r="E98" s="50"/>
      <c r="F98" s="50"/>
      <c r="G98" s="50"/>
      <c r="H98" s="50"/>
      <c r="I98" s="50"/>
      <c r="J98" s="50"/>
      <c r="K98" s="50"/>
      <c r="L98" s="50"/>
      <c r="M98" s="50"/>
      <c r="N98" s="50"/>
      <c r="O98" s="50"/>
      <c r="P98" s="50"/>
      <c r="Q98" s="50"/>
      <c r="R98" s="50"/>
      <c r="S98" s="75"/>
    </row>
    <row r="99" s="61" customFormat="1" customHeight="1" spans="1:19">
      <c r="A99" s="75"/>
      <c r="B99" s="50"/>
      <c r="C99" s="50"/>
      <c r="D99" s="50"/>
      <c r="E99" s="50"/>
      <c r="F99" s="50"/>
      <c r="G99" s="50"/>
      <c r="H99" s="50"/>
      <c r="I99" s="50"/>
      <c r="J99" s="50"/>
      <c r="K99" s="50"/>
      <c r="L99" s="50"/>
      <c r="M99" s="50"/>
      <c r="N99" s="50"/>
      <c r="O99" s="50"/>
      <c r="P99" s="50"/>
      <c r="Q99" s="50"/>
      <c r="R99" s="50"/>
      <c r="S99" s="75"/>
    </row>
    <row r="100" s="61" customFormat="1" customHeight="1" spans="1:19">
      <c r="A100" s="75"/>
      <c r="B100" s="50"/>
      <c r="C100" s="50"/>
      <c r="D100" s="50"/>
      <c r="E100" s="50"/>
      <c r="F100" s="50"/>
      <c r="G100" s="50"/>
      <c r="H100" s="50"/>
      <c r="I100" s="50"/>
      <c r="J100" s="50"/>
      <c r="K100" s="50"/>
      <c r="L100" s="50"/>
      <c r="M100" s="50"/>
      <c r="N100" s="50"/>
      <c r="O100" s="50"/>
      <c r="P100" s="50"/>
      <c r="Q100" s="50"/>
      <c r="R100" s="50"/>
      <c r="S100" s="75"/>
    </row>
    <row r="101" s="61" customFormat="1" customHeight="1" spans="1:19">
      <c r="A101" s="75"/>
      <c r="B101" s="50"/>
      <c r="C101" s="50"/>
      <c r="D101" s="50"/>
      <c r="E101" s="50"/>
      <c r="F101" s="50"/>
      <c r="G101" s="50"/>
      <c r="H101" s="50"/>
      <c r="I101" s="50"/>
      <c r="J101" s="50"/>
      <c r="K101" s="50"/>
      <c r="L101" s="50"/>
      <c r="M101" s="50"/>
      <c r="N101" s="50"/>
      <c r="O101" s="50"/>
      <c r="P101" s="50"/>
      <c r="Q101" s="50"/>
      <c r="R101" s="50"/>
      <c r="S101" s="75"/>
    </row>
    <row r="102" s="61" customFormat="1" customHeight="1" spans="1:19">
      <c r="A102" s="75"/>
      <c r="B102" s="50"/>
      <c r="C102" s="50"/>
      <c r="D102" s="50"/>
      <c r="E102" s="50"/>
      <c r="F102" s="50"/>
      <c r="G102" s="50"/>
      <c r="H102" s="50"/>
      <c r="I102" s="50"/>
      <c r="J102" s="50"/>
      <c r="K102" s="50"/>
      <c r="L102" s="50"/>
      <c r="M102" s="50"/>
      <c r="N102" s="50"/>
      <c r="O102" s="50"/>
      <c r="P102" s="50"/>
      <c r="Q102" s="50"/>
      <c r="R102" s="50"/>
      <c r="S102" s="75"/>
    </row>
    <row r="103" s="61" customFormat="1" customHeight="1" spans="1:19">
      <c r="A103" s="75"/>
      <c r="B103" s="50"/>
      <c r="C103" s="50"/>
      <c r="D103" s="50"/>
      <c r="E103" s="50"/>
      <c r="F103" s="50"/>
      <c r="G103" s="50"/>
      <c r="H103" s="50"/>
      <c r="I103" s="50"/>
      <c r="J103" s="50"/>
      <c r="K103" s="50"/>
      <c r="L103" s="50"/>
      <c r="M103" s="50"/>
      <c r="N103" s="50"/>
      <c r="O103" s="50"/>
      <c r="P103" s="50"/>
      <c r="Q103" s="50"/>
      <c r="R103" s="50"/>
      <c r="S103" s="75"/>
    </row>
    <row r="104" s="61" customFormat="1" customHeight="1" spans="1:19">
      <c r="A104" s="75"/>
      <c r="B104" s="50"/>
      <c r="C104" s="50"/>
      <c r="D104" s="50"/>
      <c r="E104" s="50"/>
      <c r="F104" s="50"/>
      <c r="G104" s="50"/>
      <c r="H104" s="50"/>
      <c r="I104" s="50"/>
      <c r="J104" s="50"/>
      <c r="K104" s="50"/>
      <c r="L104" s="50"/>
      <c r="M104" s="50"/>
      <c r="N104" s="50"/>
      <c r="O104" s="50"/>
      <c r="P104" s="50"/>
      <c r="Q104" s="50"/>
      <c r="R104" s="50"/>
      <c r="S104" s="75"/>
    </row>
    <row r="105" s="61" customFormat="1" customHeight="1" spans="1:19">
      <c r="A105" s="75"/>
      <c r="B105" s="75"/>
      <c r="C105" s="75"/>
      <c r="D105" s="75"/>
      <c r="E105" s="75"/>
      <c r="F105" s="75"/>
      <c r="G105" s="75"/>
      <c r="H105" s="75"/>
      <c r="I105" s="75"/>
      <c r="J105" s="75"/>
      <c r="K105" s="75"/>
      <c r="L105" s="75"/>
      <c r="M105" s="75"/>
      <c r="N105" s="75"/>
      <c r="O105" s="75"/>
      <c r="P105" s="75"/>
      <c r="Q105" s="75"/>
      <c r="R105" s="75"/>
      <c r="S105" s="75"/>
    </row>
    <row r="106" s="61" customFormat="1" customHeight="1" spans="1:19">
      <c r="A106" s="75"/>
      <c r="B106" s="70" t="s">
        <v>218</v>
      </c>
      <c r="C106" s="70"/>
      <c r="D106" s="70"/>
      <c r="E106" s="70"/>
      <c r="F106" s="70"/>
      <c r="G106" s="70"/>
      <c r="H106" s="70"/>
      <c r="I106" s="70"/>
      <c r="J106" s="70"/>
      <c r="K106" s="70"/>
      <c r="L106" s="70"/>
      <c r="M106" s="70"/>
      <c r="N106" s="70"/>
      <c r="O106" s="70"/>
      <c r="P106" s="70"/>
      <c r="Q106" s="70"/>
      <c r="R106" s="70"/>
      <c r="S106" s="75"/>
    </row>
    <row r="107" s="61" customFormat="1" customHeight="1" spans="1:19">
      <c r="A107" s="75"/>
      <c r="B107" s="66" t="s">
        <v>169</v>
      </c>
      <c r="C107" s="66"/>
      <c r="D107" s="66"/>
      <c r="E107" s="66"/>
      <c r="F107" s="66"/>
      <c r="G107" s="66"/>
      <c r="H107" s="66"/>
      <c r="I107" s="66"/>
      <c r="J107" s="66"/>
      <c r="K107" s="66"/>
      <c r="L107" s="66"/>
      <c r="M107" s="66"/>
      <c r="N107" s="66"/>
      <c r="O107" s="66"/>
      <c r="P107" s="66"/>
      <c r="Q107" s="66"/>
      <c r="R107" s="66" t="s">
        <v>92</v>
      </c>
      <c r="S107" s="75"/>
    </row>
    <row r="108" s="61" customFormat="1" customHeight="1" spans="1:19">
      <c r="A108" s="75"/>
      <c r="B108" s="50"/>
      <c r="C108" s="50"/>
      <c r="D108" s="50"/>
      <c r="E108" s="50"/>
      <c r="F108" s="50"/>
      <c r="G108" s="50"/>
      <c r="H108" s="50"/>
      <c r="I108" s="50"/>
      <c r="J108" s="50"/>
      <c r="K108" s="50"/>
      <c r="L108" s="50"/>
      <c r="M108" s="50"/>
      <c r="N108" s="50"/>
      <c r="O108" s="50"/>
      <c r="P108" s="50"/>
      <c r="Q108" s="50"/>
      <c r="R108" s="50"/>
      <c r="S108" s="75"/>
    </row>
    <row r="109" s="61" customFormat="1" customHeight="1" spans="1:19">
      <c r="A109" s="75"/>
      <c r="B109" s="50"/>
      <c r="C109" s="50"/>
      <c r="D109" s="50"/>
      <c r="E109" s="50"/>
      <c r="F109" s="50"/>
      <c r="G109" s="50"/>
      <c r="H109" s="50"/>
      <c r="I109" s="50"/>
      <c r="J109" s="50"/>
      <c r="K109" s="50"/>
      <c r="L109" s="50"/>
      <c r="M109" s="50"/>
      <c r="N109" s="50"/>
      <c r="O109" s="50"/>
      <c r="P109" s="50"/>
      <c r="Q109" s="50"/>
      <c r="R109" s="50"/>
      <c r="S109" s="75"/>
    </row>
    <row r="110" s="61" customFormat="1" customHeight="1" spans="1:19">
      <c r="A110" s="75"/>
      <c r="B110" s="50"/>
      <c r="C110" s="50"/>
      <c r="D110" s="50"/>
      <c r="E110" s="50"/>
      <c r="F110" s="50"/>
      <c r="G110" s="50"/>
      <c r="H110" s="50"/>
      <c r="I110" s="50"/>
      <c r="J110" s="50"/>
      <c r="K110" s="50"/>
      <c r="L110" s="50"/>
      <c r="M110" s="50"/>
      <c r="N110" s="50"/>
      <c r="O110" s="50"/>
      <c r="P110" s="50"/>
      <c r="Q110" s="50"/>
      <c r="R110" s="50"/>
      <c r="S110" s="75"/>
    </row>
    <row r="111" s="61" customFormat="1" customHeight="1" spans="1:19">
      <c r="A111" s="75"/>
      <c r="B111" s="50"/>
      <c r="C111" s="50"/>
      <c r="D111" s="50"/>
      <c r="E111" s="50"/>
      <c r="F111" s="50"/>
      <c r="G111" s="50"/>
      <c r="H111" s="50"/>
      <c r="I111" s="50"/>
      <c r="J111" s="50"/>
      <c r="K111" s="50"/>
      <c r="L111" s="50"/>
      <c r="M111" s="50"/>
      <c r="N111" s="50"/>
      <c r="O111" s="50"/>
      <c r="P111" s="50"/>
      <c r="Q111" s="50"/>
      <c r="R111" s="50"/>
      <c r="S111" s="75"/>
    </row>
    <row r="112" s="61" customFormat="1" customHeight="1" spans="1:19">
      <c r="A112" s="75"/>
      <c r="B112" s="50"/>
      <c r="C112" s="50"/>
      <c r="D112" s="50"/>
      <c r="E112" s="50"/>
      <c r="F112" s="50"/>
      <c r="G112" s="50"/>
      <c r="H112" s="50"/>
      <c r="I112" s="50"/>
      <c r="J112" s="50"/>
      <c r="K112" s="50"/>
      <c r="L112" s="50"/>
      <c r="M112" s="50"/>
      <c r="N112" s="50"/>
      <c r="O112" s="50"/>
      <c r="P112" s="50"/>
      <c r="Q112" s="50"/>
      <c r="R112" s="50"/>
      <c r="S112" s="75"/>
    </row>
    <row r="113" s="61" customFormat="1" customHeight="1" spans="1:19">
      <c r="A113" s="75"/>
      <c r="B113" s="50"/>
      <c r="C113" s="50"/>
      <c r="D113" s="50"/>
      <c r="E113" s="50"/>
      <c r="F113" s="50"/>
      <c r="G113" s="50"/>
      <c r="H113" s="50"/>
      <c r="I113" s="50"/>
      <c r="J113" s="50"/>
      <c r="K113" s="50"/>
      <c r="L113" s="50"/>
      <c r="M113" s="50"/>
      <c r="N113" s="50"/>
      <c r="O113" s="50"/>
      <c r="P113" s="50"/>
      <c r="Q113" s="50"/>
      <c r="R113" s="50"/>
      <c r="S113" s="75"/>
    </row>
    <row r="114" s="61" customFormat="1" customHeight="1" spans="1:19">
      <c r="A114" s="75"/>
      <c r="B114" s="50"/>
      <c r="C114" s="50"/>
      <c r="D114" s="50"/>
      <c r="E114" s="50"/>
      <c r="F114" s="50"/>
      <c r="G114" s="50"/>
      <c r="H114" s="50"/>
      <c r="I114" s="50"/>
      <c r="J114" s="50"/>
      <c r="K114" s="50"/>
      <c r="L114" s="50"/>
      <c r="M114" s="50"/>
      <c r="N114" s="50"/>
      <c r="O114" s="50"/>
      <c r="P114" s="50"/>
      <c r="Q114" s="50"/>
      <c r="R114" s="50"/>
      <c r="S114" s="75"/>
    </row>
    <row r="115" s="61" customFormat="1" customHeight="1" spans="1:19">
      <c r="A115" s="75"/>
      <c r="B115" s="75"/>
      <c r="C115" s="75"/>
      <c r="D115" s="75"/>
      <c r="E115" s="75"/>
      <c r="F115" s="75"/>
      <c r="G115" s="75"/>
      <c r="H115" s="75"/>
      <c r="I115" s="75"/>
      <c r="J115" s="75"/>
      <c r="K115" s="75"/>
      <c r="L115" s="75"/>
      <c r="M115" s="75"/>
      <c r="N115" s="75"/>
      <c r="O115" s="74" t="s">
        <v>219</v>
      </c>
      <c r="P115" s="74"/>
      <c r="Q115" s="74">
        <f>SUM(R108:R114)+Q68+Q50+Q35+Q30</f>
        <v>0</v>
      </c>
      <c r="R115" s="74"/>
      <c r="S115" s="75"/>
    </row>
  </sheetData>
  <mergeCells count="202">
    <mergeCell ref="B1:R1"/>
    <mergeCell ref="B2:R2"/>
    <mergeCell ref="B3:C3"/>
    <mergeCell ref="D3:I3"/>
    <mergeCell ref="K3:P3"/>
    <mergeCell ref="B4:C4"/>
    <mergeCell ref="D4:I4"/>
    <mergeCell ref="K4:P4"/>
    <mergeCell ref="B5:R5"/>
    <mergeCell ref="B8:R8"/>
    <mergeCell ref="B11:R11"/>
    <mergeCell ref="B12:R12"/>
    <mergeCell ref="B13:C13"/>
    <mergeCell ref="D13:E13"/>
    <mergeCell ref="F13:H13"/>
    <mergeCell ref="J13:P13"/>
    <mergeCell ref="B14:C14"/>
    <mergeCell ref="D14:E14"/>
    <mergeCell ref="F14:H14"/>
    <mergeCell ref="J14:P14"/>
    <mergeCell ref="B15:C15"/>
    <mergeCell ref="D15:H15"/>
    <mergeCell ref="J15:N15"/>
    <mergeCell ref="O15:P15"/>
    <mergeCell ref="Q15:R15"/>
    <mergeCell ref="B16:R16"/>
    <mergeCell ref="B19:R19"/>
    <mergeCell ref="B22:R22"/>
    <mergeCell ref="B23:R23"/>
    <mergeCell ref="B24:E24"/>
    <mergeCell ref="F24:G24"/>
    <mergeCell ref="J24:K24"/>
    <mergeCell ref="O24:P24"/>
    <mergeCell ref="B25:E25"/>
    <mergeCell ref="F25:G25"/>
    <mergeCell ref="J25:K25"/>
    <mergeCell ref="M25:P25"/>
    <mergeCell ref="B26:E26"/>
    <mergeCell ref="F26:G26"/>
    <mergeCell ref="J26:K26"/>
    <mergeCell ref="M26:P26"/>
    <mergeCell ref="B27:E27"/>
    <mergeCell ref="F27:G27"/>
    <mergeCell ref="J27:K27"/>
    <mergeCell ref="M27:P27"/>
    <mergeCell ref="B28:E28"/>
    <mergeCell ref="F28:G28"/>
    <mergeCell ref="J28:K28"/>
    <mergeCell ref="M28:P28"/>
    <mergeCell ref="B29:E29"/>
    <mergeCell ref="F29:G29"/>
    <mergeCell ref="J29:K29"/>
    <mergeCell ref="M29:P29"/>
    <mergeCell ref="Q30:R30"/>
    <mergeCell ref="B31:R31"/>
    <mergeCell ref="B32:E32"/>
    <mergeCell ref="F32:G32"/>
    <mergeCell ref="I32:P32"/>
    <mergeCell ref="B33:E33"/>
    <mergeCell ref="F33:G33"/>
    <mergeCell ref="I33:P33"/>
    <mergeCell ref="B34:E34"/>
    <mergeCell ref="F34:G34"/>
    <mergeCell ref="I34:P34"/>
    <mergeCell ref="Q35:R35"/>
    <mergeCell ref="B36:R36"/>
    <mergeCell ref="B37:E37"/>
    <mergeCell ref="F37:P37"/>
    <mergeCell ref="B38:E38"/>
    <mergeCell ref="F38:P38"/>
    <mergeCell ref="B39:E39"/>
    <mergeCell ref="F39:P39"/>
    <mergeCell ref="B40:E40"/>
    <mergeCell ref="F40:P40"/>
    <mergeCell ref="B41:E41"/>
    <mergeCell ref="F41:P41"/>
    <mergeCell ref="B42:E42"/>
    <mergeCell ref="F42:P42"/>
    <mergeCell ref="B43:E43"/>
    <mergeCell ref="F43:P43"/>
    <mergeCell ref="B44:E44"/>
    <mergeCell ref="F44:P44"/>
    <mergeCell ref="B45:E45"/>
    <mergeCell ref="F45:P45"/>
    <mergeCell ref="B46:E46"/>
    <mergeCell ref="F46:P46"/>
    <mergeCell ref="B47:E47"/>
    <mergeCell ref="F47:P47"/>
    <mergeCell ref="B48:E48"/>
    <mergeCell ref="F48:P48"/>
    <mergeCell ref="B49:E49"/>
    <mergeCell ref="F49:P49"/>
    <mergeCell ref="Q50:R50"/>
    <mergeCell ref="B51:R51"/>
    <mergeCell ref="B52:E52"/>
    <mergeCell ref="F52:N52"/>
    <mergeCell ref="C53:E53"/>
    <mergeCell ref="F53:N53"/>
    <mergeCell ref="C54:E54"/>
    <mergeCell ref="F54:N54"/>
    <mergeCell ref="C55:E55"/>
    <mergeCell ref="F55:N55"/>
    <mergeCell ref="C56:E56"/>
    <mergeCell ref="F56:N56"/>
    <mergeCell ref="C57:E57"/>
    <mergeCell ref="F57:N57"/>
    <mergeCell ref="C58:E58"/>
    <mergeCell ref="F58:N58"/>
    <mergeCell ref="C59:E59"/>
    <mergeCell ref="F59:N59"/>
    <mergeCell ref="C60:E60"/>
    <mergeCell ref="F60:N60"/>
    <mergeCell ref="C61:E61"/>
    <mergeCell ref="F61:N61"/>
    <mergeCell ref="C62:E62"/>
    <mergeCell ref="F62:N62"/>
    <mergeCell ref="C63:E63"/>
    <mergeCell ref="F63:N63"/>
    <mergeCell ref="C64:E64"/>
    <mergeCell ref="F64:N64"/>
    <mergeCell ref="C65:E65"/>
    <mergeCell ref="F65:N65"/>
    <mergeCell ref="C66:E66"/>
    <mergeCell ref="F66:N66"/>
    <mergeCell ref="C67:E67"/>
    <mergeCell ref="F67:N67"/>
    <mergeCell ref="Q68:R68"/>
    <mergeCell ref="B69:R69"/>
    <mergeCell ref="B70:E70"/>
    <mergeCell ref="F70:G70"/>
    <mergeCell ref="N70:O70"/>
    <mergeCell ref="P70:R70"/>
    <mergeCell ref="B71:E71"/>
    <mergeCell ref="F71:G71"/>
    <mergeCell ref="B72:E72"/>
    <mergeCell ref="F72:G72"/>
    <mergeCell ref="B73:E73"/>
    <mergeCell ref="F73:G73"/>
    <mergeCell ref="B74:E74"/>
    <mergeCell ref="F74:G74"/>
    <mergeCell ref="F75:G75"/>
    <mergeCell ref="F76:G76"/>
    <mergeCell ref="F77:G77"/>
    <mergeCell ref="F78:G78"/>
    <mergeCell ref="F79:G79"/>
    <mergeCell ref="F80:G80"/>
    <mergeCell ref="H80:J80"/>
    <mergeCell ref="K80:L80"/>
    <mergeCell ref="M80:N80"/>
    <mergeCell ref="O80:P80"/>
    <mergeCell ref="Q80:R80"/>
    <mergeCell ref="B89:R89"/>
    <mergeCell ref="B93:R93"/>
    <mergeCell ref="B94:E94"/>
    <mergeCell ref="F94:R94"/>
    <mergeCell ref="B95:E95"/>
    <mergeCell ref="F95:R95"/>
    <mergeCell ref="B96:E96"/>
    <mergeCell ref="F96:R96"/>
    <mergeCell ref="B97:E97"/>
    <mergeCell ref="F97:R97"/>
    <mergeCell ref="B98:E98"/>
    <mergeCell ref="F98:R98"/>
    <mergeCell ref="B99:E99"/>
    <mergeCell ref="F99:R99"/>
    <mergeCell ref="B100:E100"/>
    <mergeCell ref="F100:R100"/>
    <mergeCell ref="B101:E101"/>
    <mergeCell ref="F101:R101"/>
    <mergeCell ref="B102:E102"/>
    <mergeCell ref="F102:R102"/>
    <mergeCell ref="B103:E103"/>
    <mergeCell ref="F103:R103"/>
    <mergeCell ref="B104:E104"/>
    <mergeCell ref="F104:R104"/>
    <mergeCell ref="B106:R106"/>
    <mergeCell ref="B107:Q107"/>
    <mergeCell ref="B108:Q108"/>
    <mergeCell ref="B109:Q109"/>
    <mergeCell ref="B110:Q110"/>
    <mergeCell ref="B111:Q111"/>
    <mergeCell ref="B112:Q112"/>
    <mergeCell ref="B113:Q113"/>
    <mergeCell ref="B114:Q114"/>
    <mergeCell ref="O115:P115"/>
    <mergeCell ref="Q115:R115"/>
    <mergeCell ref="B53:B67"/>
    <mergeCell ref="B6:R7"/>
    <mergeCell ref="B9:R10"/>
    <mergeCell ref="B81:C82"/>
    <mergeCell ref="D81:R82"/>
    <mergeCell ref="B83:C84"/>
    <mergeCell ref="D83:R84"/>
    <mergeCell ref="B85:C86"/>
    <mergeCell ref="D85:R86"/>
    <mergeCell ref="B17:R18"/>
    <mergeCell ref="B20:R21"/>
    <mergeCell ref="N71:R79"/>
    <mergeCell ref="B87:C88"/>
    <mergeCell ref="D87:R88"/>
    <mergeCell ref="B90:R91"/>
    <mergeCell ref="B75:E80"/>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63"/>
  <sheetViews>
    <sheetView zoomScale="70" zoomScaleNormal="70" workbookViewId="0">
      <selection activeCell="Z27" sqref="Z27"/>
    </sheetView>
  </sheetViews>
  <sheetFormatPr defaultColWidth="5.18333333333333" defaultRowHeight="20" customHeight="1"/>
  <cols>
    <col min="1" max="1" width="3.33333333333333" style="42" customWidth="1"/>
    <col min="2" max="19" width="6.66666666666667" style="42" customWidth="1"/>
    <col min="20" max="20" width="3.33333333333333" style="42" customWidth="1"/>
    <col min="21" max="22" width="5.58333333333333" style="43" customWidth="1"/>
    <col min="23" max="16379" width="5.18333333333333" style="42" customWidth="1"/>
    <col min="16380" max="16384" width="5.18333333333333" style="42"/>
  </cols>
  <sheetData>
    <row r="1" customHeight="1" spans="1:25">
      <c r="A1" s="44"/>
      <c r="B1" s="44"/>
      <c r="C1" s="44"/>
      <c r="D1" s="44"/>
      <c r="E1" s="44"/>
      <c r="F1" s="44"/>
      <c r="G1" s="44"/>
      <c r="H1" s="44"/>
      <c r="I1" s="44"/>
      <c r="J1" s="44"/>
      <c r="K1" s="44"/>
      <c r="L1" s="44"/>
      <c r="M1" s="44"/>
      <c r="N1" s="44"/>
      <c r="O1" s="44"/>
      <c r="P1" s="44"/>
      <c r="Q1" s="44"/>
      <c r="R1" s="44"/>
      <c r="S1" s="44"/>
      <c r="T1" s="44"/>
    </row>
    <row r="2" customHeight="1" spans="1:25">
      <c r="A2" s="44"/>
      <c r="B2" s="45" t="s">
        <v>220</v>
      </c>
      <c r="C2" s="46"/>
      <c r="D2" s="46"/>
      <c r="E2" s="46"/>
      <c r="F2" s="46"/>
      <c r="G2" s="46"/>
      <c r="H2" s="46"/>
      <c r="I2" s="46"/>
      <c r="J2" s="46"/>
      <c r="K2" s="45" t="s">
        <v>221</v>
      </c>
      <c r="L2" s="46"/>
      <c r="M2" s="46"/>
      <c r="N2" s="46"/>
      <c r="O2" s="46"/>
      <c r="P2" s="46"/>
      <c r="Q2" s="45" t="s">
        <v>222</v>
      </c>
      <c r="R2" s="46"/>
      <c r="S2" s="46"/>
      <c r="T2" s="44"/>
    </row>
    <row r="3" customHeight="1" spans="1:25">
      <c r="A3" s="44"/>
      <c r="B3" s="47" t="s">
        <v>223</v>
      </c>
      <c r="C3" s="47" t="s">
        <v>224</v>
      </c>
      <c r="D3" s="47" t="s">
        <v>225</v>
      </c>
      <c r="E3" s="47" t="s">
        <v>22</v>
      </c>
      <c r="F3" s="47" t="s">
        <v>226</v>
      </c>
      <c r="G3" s="47" t="s">
        <v>227</v>
      </c>
      <c r="H3" s="47" t="s">
        <v>228</v>
      </c>
      <c r="I3" s="47" t="s">
        <v>229</v>
      </c>
      <c r="J3" s="47" t="s">
        <v>76</v>
      </c>
      <c r="K3" s="47" t="s">
        <v>230</v>
      </c>
      <c r="L3" s="48"/>
      <c r="M3" s="47" t="s">
        <v>231</v>
      </c>
      <c r="N3" s="48"/>
      <c r="O3" s="47" t="s">
        <v>232</v>
      </c>
      <c r="P3" s="48"/>
      <c r="Q3" s="47" t="s">
        <v>233</v>
      </c>
      <c r="R3" s="48"/>
      <c r="S3" s="48"/>
      <c r="T3" s="44"/>
    </row>
    <row r="4" customHeight="1" spans="1:25">
      <c r="A4" s="44"/>
      <c r="B4" s="47" t="s">
        <v>199</v>
      </c>
      <c r="C4" s="49"/>
      <c r="D4" s="49"/>
      <c r="E4" s="49"/>
      <c r="F4" s="49"/>
      <c r="G4" s="49"/>
      <c r="H4" s="49"/>
      <c r="I4" s="49"/>
      <c r="J4" s="49"/>
      <c r="K4" s="50"/>
      <c r="L4" s="50"/>
      <c r="M4" s="50"/>
      <c r="N4" s="50"/>
      <c r="O4" s="50"/>
      <c r="P4" s="50"/>
      <c r="Q4" s="51" t="s">
        <v>234</v>
      </c>
      <c r="R4" s="51" t="s">
        <v>235</v>
      </c>
      <c r="S4" s="51" t="s">
        <v>236</v>
      </c>
      <c r="T4" s="44"/>
      <c r="W4" s="43"/>
      <c r="X4" s="43"/>
      <c r="Y4" s="43"/>
    </row>
    <row r="5" customHeight="1" spans="1:25">
      <c r="A5" s="44"/>
      <c r="B5" s="47" t="s">
        <v>237</v>
      </c>
      <c r="C5" s="49"/>
      <c r="D5" s="49"/>
      <c r="E5" s="49"/>
      <c r="F5" s="49"/>
      <c r="G5" s="49"/>
      <c r="H5" s="49"/>
      <c r="I5" s="49"/>
      <c r="J5" s="49"/>
      <c r="K5" s="47" t="s">
        <v>238</v>
      </c>
      <c r="L5" s="48"/>
      <c r="M5" s="47" t="s">
        <v>239</v>
      </c>
      <c r="N5" s="48"/>
      <c r="O5" s="47" t="s">
        <v>240</v>
      </c>
      <c r="P5" s="47" t="s">
        <v>241</v>
      </c>
      <c r="Q5" s="49">
        <f>ROUND(R5/2,0)</f>
        <v>0</v>
      </c>
      <c r="R5" s="49">
        <f>M4</f>
        <v>0</v>
      </c>
      <c r="S5" s="49">
        <f>R5+3</f>
        <v>3</v>
      </c>
      <c r="T5" s="44"/>
      <c r="W5" s="43"/>
      <c r="X5" s="43"/>
      <c r="Y5" s="43"/>
    </row>
    <row r="6" customHeight="1" spans="1:25">
      <c r="A6" s="44"/>
      <c r="B6" s="47" t="s">
        <v>242</v>
      </c>
      <c r="C6" s="49"/>
      <c r="D6" s="49"/>
      <c r="E6" s="49"/>
      <c r="F6" s="49"/>
      <c r="G6" s="49"/>
      <c r="H6" s="49"/>
      <c r="I6" s="49"/>
      <c r="J6" s="49"/>
      <c r="K6" s="50"/>
      <c r="L6" s="50"/>
      <c r="M6" s="50"/>
      <c r="N6" s="50"/>
      <c r="O6" s="50">
        <f>人物!K20</f>
        <v>0</v>
      </c>
      <c r="P6" s="50">
        <f>人物!L20</f>
        <v>0</v>
      </c>
      <c r="Q6" s="47" t="s">
        <v>243</v>
      </c>
      <c r="R6" s="48"/>
      <c r="S6" s="48"/>
      <c r="T6" s="44"/>
      <c r="W6" s="43"/>
      <c r="X6" s="43"/>
      <c r="Y6" s="43"/>
    </row>
    <row r="7" customHeight="1" spans="1:25">
      <c r="A7" s="44"/>
      <c r="B7" s="47" t="s">
        <v>244</v>
      </c>
      <c r="C7" s="49"/>
      <c r="D7" s="49"/>
      <c r="E7" s="49"/>
      <c r="F7" s="49"/>
      <c r="G7" s="49"/>
      <c r="H7" s="49"/>
      <c r="I7" s="49"/>
      <c r="J7" s="49"/>
      <c r="K7" s="47" t="s">
        <v>245</v>
      </c>
      <c r="L7" s="48"/>
      <c r="M7" s="48"/>
      <c r="N7" s="48"/>
      <c r="O7" s="48"/>
      <c r="P7" s="48"/>
      <c r="Q7" s="51" t="s">
        <v>234</v>
      </c>
      <c r="R7" s="51" t="s">
        <v>235</v>
      </c>
      <c r="S7" s="51" t="s">
        <v>236</v>
      </c>
      <c r="T7" s="44"/>
      <c r="W7" s="43"/>
      <c r="X7" s="43"/>
    </row>
    <row r="8" customHeight="1" spans="1:25">
      <c r="A8" s="44"/>
      <c r="B8" s="47" t="s">
        <v>246</v>
      </c>
      <c r="C8" s="49" t="str">
        <f>IF(M4="","",IF(C6="√",2,0)+P6+K4+C7)</f>
        <v/>
      </c>
      <c r="D8" s="49" t="str">
        <f>IF(M4="","",IF(D6="√",2,0)+P6+K4+D7)</f>
        <v/>
      </c>
      <c r="E8" s="49" t="str">
        <f>IF(M4="","",IF(E6="√",2,0)+P6+K4+E7)</f>
        <v/>
      </c>
      <c r="F8" s="49" t="str">
        <f>IF(M4="","",IF(F6="√",2,0)+P6+K4+F7)</f>
        <v/>
      </c>
      <c r="G8" s="49" t="str">
        <f>IF(M4="","",IF(G6="√",2,0)+P6+K4+G7)</f>
        <v/>
      </c>
      <c r="H8" s="49" t="str">
        <f>IF(M4="","",IF(H6="√",2,0)+P6+K4+H7)</f>
        <v/>
      </c>
      <c r="I8" s="49" t="str">
        <f>IF(M4="","",IF(I6="√",2,0)+P6+K4+I7)</f>
        <v/>
      </c>
      <c r="J8" s="49" t="str">
        <f>IF(M4="","",IF(J6="√",2,0)+P6+K4+J7)</f>
        <v/>
      </c>
      <c r="K8" s="49"/>
      <c r="L8" s="52"/>
      <c r="M8" s="52"/>
      <c r="N8" s="52"/>
      <c r="O8" s="52"/>
      <c r="P8" s="52"/>
      <c r="Q8" s="49">
        <f>Q5*5+O6</f>
        <v>0</v>
      </c>
      <c r="R8" s="49">
        <f>R5*5+O6</f>
        <v>0</v>
      </c>
      <c r="S8" s="49">
        <f>S5*5+O6</f>
        <v>15</v>
      </c>
      <c r="T8" s="44"/>
      <c r="W8" s="43"/>
      <c r="X8" s="43"/>
    </row>
    <row r="9" customHeight="1" spans="1:25">
      <c r="A9" s="44"/>
      <c r="B9" s="44"/>
      <c r="C9" s="44"/>
      <c r="D9" s="44"/>
      <c r="E9" s="44"/>
      <c r="F9" s="44"/>
      <c r="G9" s="44"/>
      <c r="H9" s="44"/>
      <c r="I9" s="44"/>
      <c r="J9" s="44"/>
      <c r="K9" s="44"/>
      <c r="L9" s="44"/>
      <c r="M9" s="44"/>
      <c r="N9" s="44"/>
      <c r="O9" s="44"/>
      <c r="P9" s="44"/>
      <c r="Q9" s="44"/>
      <c r="R9" s="44"/>
      <c r="S9" s="44"/>
      <c r="T9" s="44"/>
      <c r="W9" s="43"/>
      <c r="X9" s="43"/>
    </row>
    <row r="10" customHeight="1" spans="1:25">
      <c r="A10" s="44"/>
      <c r="B10" s="45" t="s">
        <v>247</v>
      </c>
      <c r="C10" s="46"/>
      <c r="D10" s="46"/>
      <c r="E10" s="46"/>
      <c r="F10" s="46"/>
      <c r="G10" s="46"/>
      <c r="H10" s="46"/>
      <c r="I10" s="46"/>
      <c r="J10" s="46"/>
      <c r="K10" s="46"/>
      <c r="L10" s="46"/>
      <c r="M10" s="46"/>
      <c r="N10" s="46"/>
      <c r="O10" s="46"/>
      <c r="P10" s="46"/>
      <c r="Q10" s="46"/>
      <c r="R10" s="46"/>
      <c r="S10" s="46"/>
      <c r="T10" s="44"/>
      <c r="W10" s="43"/>
      <c r="X10" s="43"/>
    </row>
    <row r="11" customHeight="1" spans="1:25">
      <c r="A11" s="44"/>
      <c r="B11" s="47" t="s">
        <v>248</v>
      </c>
      <c r="C11" s="48"/>
      <c r="D11" s="48"/>
      <c r="E11" s="50"/>
      <c r="F11" s="50"/>
      <c r="G11" s="50"/>
      <c r="H11" s="47" t="s">
        <v>249</v>
      </c>
      <c r="I11" s="48"/>
      <c r="J11" s="48"/>
      <c r="K11" s="50"/>
      <c r="L11" s="50"/>
      <c r="M11" s="50"/>
      <c r="N11" s="47" t="s">
        <v>39</v>
      </c>
      <c r="O11" s="48"/>
      <c r="P11" s="51" t="s">
        <v>234</v>
      </c>
      <c r="Q11" s="53" t="str" cm="1">
        <f t="array" ref="Q11">IF(M4="","",Q5&amp;"D10+"&amp;_xlfn.SWITCH(E11,"次级灵能",C8,"生化学科",D8,"预言学科",E8,"操火学科",F8,"遥感学科",G8,"传心学科",H8,"高阶秘仪",I8,"其他灵能",J8,P6+K4))</f>
        <v/>
      </c>
      <c r="R11" s="53"/>
      <c r="S11" s="53"/>
      <c r="T11" s="44"/>
      <c r="W11" s="43"/>
      <c r="X11" s="43"/>
    </row>
    <row r="12" customHeight="1" spans="1:25">
      <c r="A12" s="44"/>
      <c r="B12" s="48"/>
      <c r="C12" s="48"/>
      <c r="D12" s="48"/>
      <c r="E12" s="50"/>
      <c r="F12" s="50"/>
      <c r="G12" s="50"/>
      <c r="H12" s="48"/>
      <c r="I12" s="48"/>
      <c r="J12" s="48"/>
      <c r="K12" s="50"/>
      <c r="L12" s="50"/>
      <c r="M12" s="50"/>
      <c r="N12" s="48"/>
      <c r="O12" s="48"/>
      <c r="P12" s="51" t="s">
        <v>235</v>
      </c>
      <c r="Q12" s="54" t="str" cm="1">
        <f t="array" ref="Q12">IF(M4="","",R5&amp;"D10+"&amp;_xlfn.SWITCH(E11,"次级灵能",C8,"生化学科",D8,"预言学科",E8,"操火学科",F8,"遥感学科",G8,"传心学科",H8,"高阶秘仪",I8,"其他灵能",J8,P6+K4))</f>
        <v/>
      </c>
      <c r="R12" s="53"/>
      <c r="S12" s="53"/>
      <c r="T12" s="44"/>
    </row>
    <row r="13" customHeight="1" spans="1:25">
      <c r="A13" s="44"/>
      <c r="B13" s="48"/>
      <c r="C13" s="48"/>
      <c r="D13" s="48"/>
      <c r="E13" s="50"/>
      <c r="F13" s="50"/>
      <c r="G13" s="50"/>
      <c r="H13" s="48"/>
      <c r="I13" s="48"/>
      <c r="J13" s="48"/>
      <c r="K13" s="50"/>
      <c r="L13" s="50"/>
      <c r="M13" s="50"/>
      <c r="N13" s="48"/>
      <c r="O13" s="48"/>
      <c r="P13" s="51" t="s">
        <v>236</v>
      </c>
      <c r="Q13" s="53" t="str" cm="1">
        <f t="array" ref="Q13">IF(M4="","",S5&amp;"D10+"&amp;_xlfn.SWITCH(E11,"次级灵能",C8,"生化学科",D8,"预言学科",E8,"操火学科",F8,"遥感学科",G8,"传心学科",H8,"高阶秘仪",I8,"其他灵能",J8,P6+K4))</f>
        <v/>
      </c>
      <c r="R13" s="53"/>
      <c r="S13" s="53"/>
      <c r="T13" s="44"/>
    </row>
    <row r="14" customHeight="1" spans="1:25">
      <c r="A14" s="44"/>
      <c r="B14" s="55" t="s">
        <v>250</v>
      </c>
      <c r="C14" s="55"/>
      <c r="D14" s="55"/>
      <c r="E14" s="55"/>
      <c r="F14" s="55"/>
      <c r="G14" s="55"/>
      <c r="H14" s="55"/>
      <c r="I14" s="55"/>
      <c r="J14" s="55"/>
      <c r="K14" s="55"/>
      <c r="L14" s="55"/>
      <c r="M14" s="55"/>
      <c r="N14" s="55"/>
      <c r="O14" s="55"/>
      <c r="P14" s="55"/>
      <c r="Q14" s="55"/>
      <c r="R14" s="55"/>
      <c r="S14" s="55"/>
      <c r="T14" s="44"/>
    </row>
    <row r="15" customHeight="1" spans="1:25">
      <c r="A15" s="44"/>
      <c r="B15" s="45" t="s">
        <v>251</v>
      </c>
      <c r="C15" s="46"/>
      <c r="D15" s="46"/>
      <c r="E15" s="46"/>
      <c r="F15" s="46"/>
      <c r="G15" s="46"/>
      <c r="H15" s="46"/>
      <c r="I15" s="46"/>
      <c r="J15" s="46"/>
      <c r="K15" s="46"/>
      <c r="L15" s="46"/>
      <c r="M15" s="46"/>
      <c r="N15" s="46"/>
      <c r="O15" s="46"/>
      <c r="P15" s="46"/>
      <c r="Q15" s="46"/>
      <c r="R15" s="46"/>
      <c r="S15" s="46"/>
      <c r="T15" s="44"/>
    </row>
    <row r="16" customHeight="1" spans="1:25">
      <c r="A16" s="44"/>
      <c r="B16" s="47" t="s">
        <v>249</v>
      </c>
      <c r="C16" s="48"/>
      <c r="D16" s="48"/>
      <c r="E16" s="47" t="s">
        <v>248</v>
      </c>
      <c r="F16" s="48"/>
      <c r="G16" s="48"/>
      <c r="H16" s="47" t="s">
        <v>252</v>
      </c>
      <c r="I16" s="48"/>
      <c r="J16" s="48"/>
      <c r="K16" s="47" t="s">
        <v>253</v>
      </c>
      <c r="L16" s="48"/>
      <c r="M16" s="48"/>
      <c r="N16" s="47" t="s">
        <v>254</v>
      </c>
      <c r="O16" s="48"/>
      <c r="P16" s="48"/>
      <c r="Q16" s="47" t="s">
        <v>255</v>
      </c>
      <c r="R16" s="48"/>
      <c r="S16" s="48"/>
      <c r="T16" s="44"/>
    </row>
    <row r="17" customHeight="1" spans="1:20">
      <c r="A17" s="44"/>
      <c r="B17" s="56" t="str">
        <f>IFERROR(VLOOKUP(K11,灵能表[],1,0),"")</f>
        <v/>
      </c>
      <c r="C17" s="56"/>
      <c r="D17" s="56"/>
      <c r="E17" s="56" t="str">
        <f>IFERROR(VLOOKUP(K11,灵能表[],2,0),"")</f>
        <v/>
      </c>
      <c r="F17" s="56"/>
      <c r="G17" s="56"/>
      <c r="H17" s="56" t="str">
        <f>IFERROR(VLOOKUP(K11,灵能表[],3,0),"")</f>
        <v/>
      </c>
      <c r="I17" s="56"/>
      <c r="J17" s="56"/>
      <c r="K17" s="56" t="str">
        <f>IFERROR(VLOOKUP(K11,灵能表[],4,0),"")</f>
        <v/>
      </c>
      <c r="L17" s="56"/>
      <c r="M17" s="56"/>
      <c r="N17" s="56" t="str">
        <f>IFERROR(VLOOKUP(K11,灵能表[],5,0),"")</f>
        <v/>
      </c>
      <c r="O17" s="56"/>
      <c r="P17" s="56"/>
      <c r="Q17" s="56" t="str">
        <f>IFERROR(VLOOKUP(K11,灵能表[],6,0),"")</f>
        <v/>
      </c>
      <c r="R17" s="56"/>
      <c r="S17" s="56"/>
      <c r="T17" s="44"/>
    </row>
    <row r="18" customHeight="1" spans="1:20">
      <c r="A18" s="44"/>
      <c r="B18" s="57" t="str">
        <f>IFERROR(VLOOKUP(K11,灵能表[],7,0),"")</f>
        <v/>
      </c>
      <c r="C18" s="57"/>
      <c r="D18" s="57"/>
      <c r="E18" s="57"/>
      <c r="F18" s="57"/>
      <c r="G18" s="57"/>
      <c r="H18" s="57"/>
      <c r="I18" s="57"/>
      <c r="J18" s="57"/>
      <c r="K18" s="57"/>
      <c r="L18" s="57"/>
      <c r="M18" s="57"/>
      <c r="N18" s="57"/>
      <c r="O18" s="57"/>
      <c r="P18" s="57"/>
      <c r="Q18" s="57"/>
      <c r="R18" s="57"/>
      <c r="S18" s="57"/>
      <c r="T18" s="44"/>
    </row>
    <row r="19" customHeight="1" spans="1:20">
      <c r="A19" s="44"/>
      <c r="B19" s="57"/>
      <c r="C19" s="57"/>
      <c r="D19" s="57"/>
      <c r="E19" s="57"/>
      <c r="F19" s="57"/>
      <c r="G19" s="57"/>
      <c r="H19" s="57"/>
      <c r="I19" s="57"/>
      <c r="J19" s="57"/>
      <c r="K19" s="57"/>
      <c r="L19" s="57"/>
      <c r="M19" s="57"/>
      <c r="N19" s="57"/>
      <c r="O19" s="57"/>
      <c r="P19" s="57"/>
      <c r="Q19" s="57"/>
      <c r="R19" s="57"/>
      <c r="S19" s="57"/>
      <c r="T19" s="44"/>
    </row>
    <row r="20" customHeight="1" spans="1:20">
      <c r="A20" s="44"/>
      <c r="B20" s="57"/>
      <c r="C20" s="57"/>
      <c r="D20" s="57"/>
      <c r="E20" s="57"/>
      <c r="F20" s="57"/>
      <c r="G20" s="57"/>
      <c r="H20" s="57"/>
      <c r="I20" s="57"/>
      <c r="J20" s="57"/>
      <c r="K20" s="57"/>
      <c r="L20" s="57"/>
      <c r="M20" s="57"/>
      <c r="N20" s="57"/>
      <c r="O20" s="57"/>
      <c r="P20" s="57"/>
      <c r="Q20" s="57"/>
      <c r="R20" s="57"/>
      <c r="S20" s="57"/>
      <c r="T20" s="44"/>
    </row>
    <row r="21" customHeight="1" spans="1:20">
      <c r="A21" s="44"/>
      <c r="B21" s="57"/>
      <c r="C21" s="57"/>
      <c r="D21" s="57"/>
      <c r="E21" s="57"/>
      <c r="F21" s="57"/>
      <c r="G21" s="57"/>
      <c r="H21" s="57"/>
      <c r="I21" s="57"/>
      <c r="J21" s="57"/>
      <c r="K21" s="57"/>
      <c r="L21" s="57"/>
      <c r="M21" s="57"/>
      <c r="N21" s="57"/>
      <c r="O21" s="57"/>
      <c r="P21" s="57"/>
      <c r="Q21" s="57"/>
      <c r="R21" s="57"/>
      <c r="S21" s="57"/>
      <c r="T21" s="44"/>
    </row>
    <row r="22" customHeight="1" spans="1:20">
      <c r="A22" s="44"/>
      <c r="B22" s="57"/>
      <c r="C22" s="57"/>
      <c r="D22" s="57"/>
      <c r="E22" s="57"/>
      <c r="F22" s="57"/>
      <c r="G22" s="57"/>
      <c r="H22" s="57"/>
      <c r="I22" s="57"/>
      <c r="J22" s="57"/>
      <c r="K22" s="57"/>
      <c r="L22" s="57"/>
      <c r="M22" s="57"/>
      <c r="N22" s="57"/>
      <c r="O22" s="57"/>
      <c r="P22" s="57"/>
      <c r="Q22" s="57"/>
      <c r="R22" s="57"/>
      <c r="S22" s="57"/>
      <c r="T22" s="44"/>
    </row>
    <row r="23" customHeight="1" spans="1:20">
      <c r="A23" s="44"/>
      <c r="B23" s="57"/>
      <c r="C23" s="57"/>
      <c r="D23" s="57"/>
      <c r="E23" s="57"/>
      <c r="F23" s="57"/>
      <c r="G23" s="57"/>
      <c r="H23" s="57"/>
      <c r="I23" s="57"/>
      <c r="J23" s="57"/>
      <c r="K23" s="57"/>
      <c r="L23" s="57"/>
      <c r="M23" s="57"/>
      <c r="N23" s="57"/>
      <c r="O23" s="57"/>
      <c r="P23" s="57"/>
      <c r="Q23" s="57"/>
      <c r="R23" s="57"/>
      <c r="S23" s="57"/>
      <c r="T23" s="44"/>
    </row>
    <row r="24" customHeight="1" spans="1:20">
      <c r="A24" s="44"/>
      <c r="B24" s="57"/>
      <c r="C24" s="57"/>
      <c r="D24" s="57"/>
      <c r="E24" s="57"/>
      <c r="F24" s="57"/>
      <c r="G24" s="57"/>
      <c r="H24" s="57"/>
      <c r="I24" s="57"/>
      <c r="J24" s="57"/>
      <c r="K24" s="57"/>
      <c r="L24" s="57"/>
      <c r="M24" s="57"/>
      <c r="N24" s="57"/>
      <c r="O24" s="57"/>
      <c r="P24" s="57"/>
      <c r="Q24" s="57"/>
      <c r="R24" s="57"/>
      <c r="S24" s="57"/>
      <c r="T24" s="44"/>
    </row>
    <row r="25" customHeight="1" spans="1:20">
      <c r="A25" s="44"/>
      <c r="B25" s="57"/>
      <c r="C25" s="57"/>
      <c r="D25" s="57"/>
      <c r="E25" s="57"/>
      <c r="F25" s="57"/>
      <c r="G25" s="57"/>
      <c r="H25" s="57"/>
      <c r="I25" s="57"/>
      <c r="J25" s="57"/>
      <c r="K25" s="57"/>
      <c r="L25" s="57"/>
      <c r="M25" s="57"/>
      <c r="N25" s="57"/>
      <c r="O25" s="57"/>
      <c r="P25" s="57"/>
      <c r="Q25" s="57"/>
      <c r="R25" s="57"/>
      <c r="S25" s="57"/>
      <c r="T25" s="44"/>
    </row>
    <row r="26" customHeight="1" spans="1:20">
      <c r="A26" s="44"/>
      <c r="B26" s="57"/>
      <c r="C26" s="57"/>
      <c r="D26" s="57"/>
      <c r="E26" s="57"/>
      <c r="F26" s="57"/>
      <c r="G26" s="57"/>
      <c r="H26" s="57"/>
      <c r="I26" s="57"/>
      <c r="J26" s="57"/>
      <c r="K26" s="57"/>
      <c r="L26" s="57"/>
      <c r="M26" s="57"/>
      <c r="N26" s="57"/>
      <c r="O26" s="57"/>
      <c r="P26" s="57"/>
      <c r="Q26" s="57"/>
      <c r="R26" s="57"/>
      <c r="S26" s="57"/>
      <c r="T26" s="44"/>
    </row>
    <row r="27" customHeight="1" spans="1:20">
      <c r="A27" s="44"/>
      <c r="B27" s="57"/>
      <c r="C27" s="57"/>
      <c r="D27" s="57"/>
      <c r="E27" s="57"/>
      <c r="F27" s="57"/>
      <c r="G27" s="57"/>
      <c r="H27" s="57"/>
      <c r="I27" s="57"/>
      <c r="J27" s="57"/>
      <c r="K27" s="57"/>
      <c r="L27" s="57"/>
      <c r="M27" s="57"/>
      <c r="N27" s="57"/>
      <c r="O27" s="57"/>
      <c r="P27" s="57"/>
      <c r="Q27" s="57"/>
      <c r="R27" s="57"/>
      <c r="S27" s="57"/>
      <c r="T27" s="44"/>
    </row>
    <row r="28" customHeight="1" spans="1:20">
      <c r="A28" s="44"/>
      <c r="B28" s="57"/>
      <c r="C28" s="57"/>
      <c r="D28" s="57"/>
      <c r="E28" s="57"/>
      <c r="F28" s="57"/>
      <c r="G28" s="57"/>
      <c r="H28" s="57"/>
      <c r="I28" s="57"/>
      <c r="J28" s="57"/>
      <c r="K28" s="57"/>
      <c r="L28" s="57"/>
      <c r="M28" s="57"/>
      <c r="N28" s="57"/>
      <c r="O28" s="57"/>
      <c r="P28" s="57"/>
      <c r="Q28" s="57"/>
      <c r="R28" s="57"/>
      <c r="S28" s="57"/>
      <c r="T28" s="44"/>
    </row>
    <row r="29" customHeight="1" spans="1:20">
      <c r="A29" s="44"/>
      <c r="B29" s="57"/>
      <c r="C29" s="57"/>
      <c r="D29" s="57"/>
      <c r="E29" s="57"/>
      <c r="F29" s="57"/>
      <c r="G29" s="57"/>
      <c r="H29" s="57"/>
      <c r="I29" s="57"/>
      <c r="J29" s="57"/>
      <c r="K29" s="57"/>
      <c r="L29" s="57"/>
      <c r="M29" s="57"/>
      <c r="N29" s="57"/>
      <c r="O29" s="57"/>
      <c r="P29" s="57"/>
      <c r="Q29" s="57"/>
      <c r="R29" s="57"/>
      <c r="S29" s="57"/>
      <c r="T29" s="44"/>
    </row>
    <row r="30" customHeight="1" spans="1:20">
      <c r="A30" s="44"/>
      <c r="B30" s="47" t="s">
        <v>256</v>
      </c>
      <c r="C30" s="48"/>
      <c r="D30" s="48"/>
      <c r="E30" s="58" t="str">
        <f>IFERROR(VLOOKUP(K11,灵能表[],8,0),"")</f>
        <v/>
      </c>
      <c r="F30" s="58"/>
      <c r="G30" s="58"/>
      <c r="H30" s="58"/>
      <c r="I30" s="58"/>
      <c r="J30" s="58"/>
      <c r="K30" s="58"/>
      <c r="L30" s="58"/>
      <c r="M30" s="58"/>
      <c r="N30" s="58"/>
      <c r="O30" s="58"/>
      <c r="P30" s="58"/>
      <c r="Q30" s="58"/>
      <c r="R30" s="58"/>
      <c r="S30" s="58"/>
      <c r="T30" s="44"/>
    </row>
    <row r="31" customHeight="1" spans="1:20">
      <c r="A31" s="44"/>
      <c r="B31" s="48"/>
      <c r="C31" s="48"/>
      <c r="D31" s="48"/>
      <c r="E31" s="58"/>
      <c r="F31" s="58"/>
      <c r="G31" s="58"/>
      <c r="H31" s="58"/>
      <c r="I31" s="58"/>
      <c r="J31" s="58"/>
      <c r="K31" s="58"/>
      <c r="L31" s="58"/>
      <c r="M31" s="58"/>
      <c r="N31" s="58"/>
      <c r="O31" s="58"/>
      <c r="P31" s="58"/>
      <c r="Q31" s="58"/>
      <c r="R31" s="58"/>
      <c r="S31" s="58"/>
      <c r="T31" s="44"/>
    </row>
    <row r="32" customHeight="1" spans="1:20">
      <c r="A32" s="44"/>
      <c r="B32" s="48"/>
      <c r="C32" s="48"/>
      <c r="D32" s="48"/>
      <c r="E32" s="58"/>
      <c r="F32" s="58"/>
      <c r="G32" s="58"/>
      <c r="H32" s="58"/>
      <c r="I32" s="58"/>
      <c r="J32" s="58"/>
      <c r="K32" s="58"/>
      <c r="L32" s="58"/>
      <c r="M32" s="58"/>
      <c r="N32" s="58"/>
      <c r="O32" s="58"/>
      <c r="P32" s="58"/>
      <c r="Q32" s="58"/>
      <c r="R32" s="58"/>
      <c r="S32" s="58"/>
      <c r="T32" s="44"/>
    </row>
    <row r="33" customHeight="1" spans="1:20">
      <c r="A33" s="44"/>
      <c r="B33" s="48"/>
      <c r="C33" s="48"/>
      <c r="D33" s="48"/>
      <c r="E33" s="58"/>
      <c r="F33" s="58"/>
      <c r="G33" s="58"/>
      <c r="H33" s="58"/>
      <c r="I33" s="58"/>
      <c r="J33" s="58"/>
      <c r="K33" s="58"/>
      <c r="L33" s="58"/>
      <c r="M33" s="58"/>
      <c r="N33" s="58"/>
      <c r="O33" s="58"/>
      <c r="P33" s="58"/>
      <c r="Q33" s="58"/>
      <c r="R33" s="58"/>
      <c r="S33" s="58"/>
      <c r="T33" s="44"/>
    </row>
    <row r="34" customHeight="1" spans="1:20">
      <c r="A34" s="44"/>
      <c r="B34" s="44"/>
      <c r="C34" s="44"/>
      <c r="D34" s="44"/>
      <c r="E34" s="44"/>
      <c r="F34" s="44"/>
      <c r="G34" s="44"/>
      <c r="H34" s="44"/>
      <c r="I34" s="44"/>
      <c r="J34" s="44"/>
      <c r="K34" s="44"/>
      <c r="L34" s="44"/>
      <c r="M34" s="44"/>
      <c r="N34" s="44"/>
      <c r="O34" s="44"/>
      <c r="P34" s="44"/>
      <c r="Q34" s="44"/>
      <c r="R34" s="44"/>
      <c r="S34" s="44"/>
      <c r="T34" s="59"/>
    </row>
    <row r="35" customHeight="1" spans="1:20">
      <c r="A35" s="44"/>
      <c r="B35" s="45" t="s">
        <v>257</v>
      </c>
      <c r="C35" s="46"/>
      <c r="D35" s="46"/>
      <c r="E35" s="46"/>
      <c r="F35" s="46"/>
      <c r="G35" s="46"/>
      <c r="H35" s="46"/>
      <c r="I35" s="46"/>
      <c r="J35" s="46"/>
      <c r="K35" s="46"/>
      <c r="L35" s="46"/>
      <c r="M35" s="46"/>
      <c r="N35" s="46"/>
      <c r="O35" s="46"/>
      <c r="P35" s="46"/>
      <c r="Q35" s="46"/>
      <c r="R35" s="46"/>
      <c r="S35" s="46"/>
      <c r="T35" s="44"/>
    </row>
    <row r="36" customHeight="1" spans="1:20">
      <c r="A36" s="44"/>
      <c r="B36" s="47" t="s">
        <v>258</v>
      </c>
      <c r="C36" s="48"/>
      <c r="D36" s="48"/>
      <c r="E36" s="48"/>
      <c r="F36" s="48"/>
      <c r="G36" s="48"/>
      <c r="H36" s="48"/>
      <c r="I36" s="48"/>
      <c r="J36" s="48"/>
      <c r="K36" s="48"/>
      <c r="L36" s="48"/>
      <c r="M36" s="48"/>
      <c r="N36" s="48"/>
      <c r="O36" s="48"/>
      <c r="P36" s="48"/>
      <c r="Q36" s="48"/>
      <c r="R36" s="48"/>
      <c r="S36" s="48"/>
      <c r="T36" s="44"/>
    </row>
    <row r="37" customHeight="1" spans="1:20">
      <c r="A37" s="44"/>
      <c r="B37" s="49"/>
      <c r="C37" s="52"/>
      <c r="D37" s="52"/>
      <c r="E37" s="49"/>
      <c r="F37" s="52"/>
      <c r="G37" s="52"/>
      <c r="H37" s="49"/>
      <c r="I37" s="52"/>
      <c r="J37" s="52"/>
      <c r="K37" s="49"/>
      <c r="L37" s="52"/>
      <c r="M37" s="52"/>
      <c r="N37" s="49"/>
      <c r="O37" s="52"/>
      <c r="P37" s="52"/>
      <c r="Q37" s="49"/>
      <c r="R37" s="52"/>
      <c r="S37" s="52"/>
      <c r="T37" s="44"/>
    </row>
    <row r="38" customHeight="1" spans="1:20">
      <c r="A38" s="44"/>
      <c r="B38" s="52"/>
      <c r="C38" s="52"/>
      <c r="D38" s="52"/>
      <c r="E38" s="52"/>
      <c r="F38" s="52"/>
      <c r="G38" s="52"/>
      <c r="H38" s="52"/>
      <c r="I38" s="52"/>
      <c r="J38" s="52"/>
      <c r="K38" s="52"/>
      <c r="L38" s="52"/>
      <c r="M38" s="52"/>
      <c r="N38" s="52"/>
      <c r="O38" s="52"/>
      <c r="P38" s="52"/>
      <c r="Q38" s="52"/>
      <c r="R38" s="52"/>
      <c r="S38" s="52"/>
      <c r="T38" s="44"/>
    </row>
    <row r="39" customHeight="1" spans="1:20">
      <c r="A39" s="44"/>
      <c r="B39" s="49"/>
      <c r="C39" s="52"/>
      <c r="D39" s="52"/>
      <c r="E39" s="49"/>
      <c r="F39" s="52"/>
      <c r="G39" s="52"/>
      <c r="H39" s="49"/>
      <c r="I39" s="52"/>
      <c r="J39" s="52"/>
      <c r="K39" s="49"/>
      <c r="L39" s="52"/>
      <c r="M39" s="52"/>
      <c r="N39" s="49"/>
      <c r="O39" s="52"/>
      <c r="P39" s="52"/>
      <c r="Q39" s="49"/>
      <c r="R39" s="52"/>
      <c r="S39" s="52"/>
      <c r="T39" s="44"/>
    </row>
    <row r="40" customHeight="1" spans="1:20">
      <c r="A40" s="44"/>
      <c r="B40" s="52"/>
      <c r="C40" s="52"/>
      <c r="D40" s="52"/>
      <c r="E40" s="52"/>
      <c r="F40" s="52"/>
      <c r="G40" s="52"/>
      <c r="H40" s="52"/>
      <c r="I40" s="52"/>
      <c r="J40" s="52"/>
      <c r="K40" s="52"/>
      <c r="L40" s="52"/>
      <c r="M40" s="52"/>
      <c r="N40" s="52"/>
      <c r="O40" s="52"/>
      <c r="P40" s="52"/>
      <c r="Q40" s="52"/>
      <c r="R40" s="52"/>
      <c r="S40" s="52"/>
      <c r="T40" s="44"/>
    </row>
    <row r="41" customHeight="1" spans="1:20">
      <c r="A41" s="44"/>
      <c r="B41" s="49"/>
      <c r="C41" s="52"/>
      <c r="D41" s="52"/>
      <c r="E41" s="49"/>
      <c r="F41" s="52"/>
      <c r="G41" s="52"/>
      <c r="H41" s="49"/>
      <c r="I41" s="52"/>
      <c r="J41" s="52"/>
      <c r="K41" s="49"/>
      <c r="L41" s="52"/>
      <c r="M41" s="52"/>
      <c r="N41" s="49"/>
      <c r="O41" s="52"/>
      <c r="P41" s="52"/>
      <c r="Q41" s="49"/>
      <c r="R41" s="52"/>
      <c r="S41" s="52"/>
      <c r="T41" s="44"/>
    </row>
    <row r="42" customHeight="1" spans="1:20">
      <c r="A42" s="44"/>
      <c r="B42" s="52"/>
      <c r="C42" s="52"/>
      <c r="D42" s="52"/>
      <c r="E42" s="52"/>
      <c r="F42" s="52"/>
      <c r="G42" s="52"/>
      <c r="H42" s="52"/>
      <c r="I42" s="52"/>
      <c r="J42" s="52"/>
      <c r="K42" s="52"/>
      <c r="L42" s="52"/>
      <c r="M42" s="52"/>
      <c r="N42" s="52"/>
      <c r="O42" s="52"/>
      <c r="P42" s="52"/>
      <c r="Q42" s="52"/>
      <c r="R42" s="52"/>
      <c r="S42" s="52"/>
      <c r="T42" s="44"/>
    </row>
    <row r="43" customHeight="1" spans="1:20">
      <c r="A43" s="44"/>
      <c r="B43" s="47" t="s">
        <v>259</v>
      </c>
      <c r="C43" s="48"/>
      <c r="D43" s="48"/>
      <c r="E43" s="48"/>
      <c r="F43" s="48"/>
      <c r="G43" s="48"/>
      <c r="H43" s="48"/>
      <c r="I43" s="48"/>
      <c r="J43" s="48"/>
      <c r="K43" s="48"/>
      <c r="L43" s="48"/>
      <c r="M43" s="48"/>
      <c r="N43" s="48"/>
      <c r="O43" s="48"/>
      <c r="P43" s="48"/>
      <c r="Q43" s="48"/>
      <c r="R43" s="48"/>
      <c r="S43" s="48"/>
      <c r="T43" s="44"/>
    </row>
    <row r="44" customHeight="1" spans="1:20">
      <c r="A44" s="44"/>
      <c r="B44" s="49"/>
      <c r="C44" s="52"/>
      <c r="D44" s="52"/>
      <c r="E44" s="49"/>
      <c r="F44" s="52"/>
      <c r="G44" s="52"/>
      <c r="H44" s="49"/>
      <c r="I44" s="52"/>
      <c r="J44" s="52"/>
      <c r="K44" s="49"/>
      <c r="L44" s="52"/>
      <c r="M44" s="52"/>
      <c r="N44" s="49"/>
      <c r="O44" s="52"/>
      <c r="P44" s="52"/>
      <c r="Q44" s="49"/>
      <c r="R44" s="52"/>
      <c r="S44" s="52"/>
      <c r="T44" s="44"/>
    </row>
    <row r="45" customHeight="1" spans="1:20">
      <c r="A45" s="44"/>
      <c r="B45" s="52"/>
      <c r="C45" s="52"/>
      <c r="D45" s="52"/>
      <c r="E45" s="52"/>
      <c r="F45" s="52"/>
      <c r="G45" s="52"/>
      <c r="H45" s="52"/>
      <c r="I45" s="52"/>
      <c r="J45" s="52"/>
      <c r="K45" s="52"/>
      <c r="L45" s="52"/>
      <c r="M45" s="52"/>
      <c r="N45" s="52"/>
      <c r="O45" s="52"/>
      <c r="P45" s="52"/>
      <c r="Q45" s="52"/>
      <c r="R45" s="52"/>
      <c r="S45" s="52"/>
      <c r="T45" s="44"/>
    </row>
    <row r="46" customHeight="1" spans="1:20">
      <c r="A46" s="44"/>
      <c r="B46" s="45" t="s">
        <v>260</v>
      </c>
      <c r="C46" s="46"/>
      <c r="D46" s="46"/>
      <c r="E46" s="46"/>
      <c r="F46" s="46"/>
      <c r="G46" s="46"/>
      <c r="H46" s="46"/>
      <c r="I46" s="46"/>
      <c r="J46" s="46"/>
      <c r="K46" s="46"/>
      <c r="L46" s="46"/>
      <c r="M46" s="46"/>
      <c r="N46" s="46"/>
      <c r="O46" s="46"/>
      <c r="P46" s="46"/>
      <c r="Q46" s="46"/>
      <c r="R46" s="46"/>
      <c r="S46" s="46"/>
      <c r="T46" s="44"/>
    </row>
    <row r="47" customHeight="1" spans="1:20">
      <c r="A47" s="44"/>
      <c r="B47" s="47"/>
      <c r="C47" s="48"/>
      <c r="D47" s="48"/>
      <c r="E47" s="48"/>
      <c r="F47" s="48"/>
      <c r="G47" s="48"/>
      <c r="H47" s="48"/>
      <c r="I47" s="48"/>
      <c r="J47" s="48"/>
      <c r="K47" s="48"/>
      <c r="L47" s="48"/>
      <c r="M47" s="48"/>
      <c r="N47" s="48"/>
      <c r="O47" s="48"/>
      <c r="P47" s="48"/>
      <c r="Q47" s="48"/>
      <c r="R47" s="48"/>
      <c r="S47" s="48"/>
      <c r="T47" s="44"/>
    </row>
    <row r="48" customHeight="1" spans="1:20">
      <c r="A48" s="44"/>
      <c r="B48" s="49"/>
      <c r="C48" s="52"/>
      <c r="D48" s="52"/>
      <c r="E48" s="49"/>
      <c r="F48" s="52"/>
      <c r="G48" s="52"/>
      <c r="H48" s="49"/>
      <c r="I48" s="52"/>
      <c r="J48" s="52"/>
      <c r="K48" s="49"/>
      <c r="L48" s="52"/>
      <c r="M48" s="52"/>
      <c r="N48" s="49"/>
      <c r="O48" s="52"/>
      <c r="P48" s="52"/>
      <c r="Q48" s="49"/>
      <c r="R48" s="52"/>
      <c r="S48" s="52"/>
      <c r="T48" s="44"/>
    </row>
    <row r="49" customHeight="1" spans="1:20">
      <c r="A49" s="44"/>
      <c r="B49" s="52"/>
      <c r="C49" s="52"/>
      <c r="D49" s="52"/>
      <c r="E49" s="52"/>
      <c r="F49" s="52"/>
      <c r="G49" s="52"/>
      <c r="H49" s="52"/>
      <c r="I49" s="52"/>
      <c r="J49" s="52"/>
      <c r="K49" s="52"/>
      <c r="L49" s="52"/>
      <c r="M49" s="52"/>
      <c r="N49" s="52"/>
      <c r="O49" s="52"/>
      <c r="P49" s="52"/>
      <c r="Q49" s="52"/>
      <c r="R49" s="52"/>
      <c r="S49" s="52"/>
      <c r="T49" s="44"/>
    </row>
    <row r="50" customHeight="1" spans="1:20">
      <c r="A50" s="44"/>
      <c r="B50" s="49"/>
      <c r="C50" s="52"/>
      <c r="D50" s="52"/>
      <c r="E50" s="49"/>
      <c r="F50" s="52"/>
      <c r="G50" s="52"/>
      <c r="H50" s="49"/>
      <c r="I50" s="52"/>
      <c r="J50" s="52"/>
      <c r="K50" s="49"/>
      <c r="L50" s="52"/>
      <c r="M50" s="52"/>
      <c r="N50" s="49"/>
      <c r="O50" s="52"/>
      <c r="P50" s="52"/>
      <c r="Q50" s="49"/>
      <c r="R50" s="52"/>
      <c r="S50" s="52"/>
      <c r="T50" s="44"/>
    </row>
    <row r="51" customHeight="1" spans="1:20">
      <c r="A51" s="44"/>
      <c r="B51" s="52"/>
      <c r="C51" s="52"/>
      <c r="D51" s="52"/>
      <c r="E51" s="52"/>
      <c r="F51" s="52"/>
      <c r="G51" s="52"/>
      <c r="H51" s="52"/>
      <c r="I51" s="52"/>
      <c r="J51" s="52"/>
      <c r="K51" s="52"/>
      <c r="L51" s="52"/>
      <c r="M51" s="52"/>
      <c r="N51" s="52"/>
      <c r="O51" s="52"/>
      <c r="P51" s="52"/>
      <c r="Q51" s="52"/>
      <c r="R51" s="52"/>
      <c r="S51" s="52"/>
      <c r="T51" s="44"/>
    </row>
    <row r="52" customHeight="1" spans="1:20">
      <c r="A52" s="44"/>
      <c r="B52" s="47"/>
      <c r="C52" s="48"/>
      <c r="D52" s="48"/>
      <c r="E52" s="48"/>
      <c r="F52" s="48"/>
      <c r="G52" s="48"/>
      <c r="H52" s="48"/>
      <c r="I52" s="48"/>
      <c r="J52" s="48"/>
      <c r="K52" s="48"/>
      <c r="L52" s="48"/>
      <c r="M52" s="48"/>
      <c r="N52" s="48"/>
      <c r="O52" s="48"/>
      <c r="P52" s="48"/>
      <c r="Q52" s="48"/>
      <c r="R52" s="48"/>
      <c r="S52" s="48"/>
      <c r="T52" s="44"/>
    </row>
    <row r="53" customHeight="1" spans="1:20">
      <c r="A53" s="44"/>
      <c r="B53" s="49"/>
      <c r="C53" s="52"/>
      <c r="D53" s="52"/>
      <c r="E53" s="49"/>
      <c r="F53" s="52"/>
      <c r="G53" s="52"/>
      <c r="H53" s="49"/>
      <c r="I53" s="52"/>
      <c r="J53" s="52"/>
      <c r="K53" s="49"/>
      <c r="L53" s="52"/>
      <c r="M53" s="52"/>
      <c r="N53" s="49"/>
      <c r="O53" s="52"/>
      <c r="P53" s="52"/>
      <c r="Q53" s="49"/>
      <c r="R53" s="52"/>
      <c r="S53" s="52"/>
      <c r="T53" s="44"/>
    </row>
    <row r="54" customHeight="1" spans="1:20">
      <c r="A54" s="44"/>
      <c r="B54" s="52"/>
      <c r="C54" s="52"/>
      <c r="D54" s="52"/>
      <c r="E54" s="52"/>
      <c r="F54" s="52"/>
      <c r="G54" s="52"/>
      <c r="H54" s="52"/>
      <c r="I54" s="52"/>
      <c r="J54" s="52"/>
      <c r="K54" s="52"/>
      <c r="L54" s="52"/>
      <c r="M54" s="52"/>
      <c r="N54" s="52"/>
      <c r="O54" s="52"/>
      <c r="P54" s="52"/>
      <c r="Q54" s="52"/>
      <c r="R54" s="52"/>
      <c r="S54" s="52"/>
      <c r="T54" s="44"/>
    </row>
    <row r="55" customHeight="1" spans="1:20">
      <c r="A55" s="44"/>
      <c r="B55" s="49"/>
      <c r="C55" s="52"/>
      <c r="D55" s="52"/>
      <c r="E55" s="49"/>
      <c r="F55" s="52"/>
      <c r="G55" s="52"/>
      <c r="H55" s="49"/>
      <c r="I55" s="52"/>
      <c r="J55" s="52"/>
      <c r="K55" s="49"/>
      <c r="L55" s="52"/>
      <c r="M55" s="52"/>
      <c r="N55" s="49"/>
      <c r="O55" s="52"/>
      <c r="P55" s="52"/>
      <c r="Q55" s="49"/>
      <c r="R55" s="52"/>
      <c r="S55" s="52"/>
      <c r="T55" s="44"/>
    </row>
    <row r="56" customHeight="1" spans="1:20">
      <c r="A56" s="44"/>
      <c r="B56" s="52"/>
      <c r="C56" s="52"/>
      <c r="D56" s="52"/>
      <c r="E56" s="52"/>
      <c r="F56" s="52"/>
      <c r="G56" s="52"/>
      <c r="H56" s="52"/>
      <c r="I56" s="52"/>
      <c r="J56" s="52"/>
      <c r="K56" s="52"/>
      <c r="L56" s="52"/>
      <c r="M56" s="52"/>
      <c r="N56" s="52"/>
      <c r="O56" s="52"/>
      <c r="P56" s="52"/>
      <c r="Q56" s="52"/>
      <c r="R56" s="52"/>
      <c r="S56" s="52"/>
      <c r="T56" s="44"/>
    </row>
    <row r="57" customHeight="1" spans="1:20">
      <c r="A57" s="44"/>
      <c r="B57" s="45" t="s">
        <v>261</v>
      </c>
      <c r="C57" s="46"/>
      <c r="D57" s="46"/>
      <c r="E57" s="46"/>
      <c r="F57" s="46"/>
      <c r="G57" s="46"/>
      <c r="H57" s="46"/>
      <c r="I57" s="46"/>
      <c r="J57" s="46"/>
      <c r="K57" s="46"/>
      <c r="L57" s="46"/>
      <c r="M57" s="46"/>
      <c r="N57" s="46"/>
      <c r="O57" s="46"/>
      <c r="P57" s="46"/>
      <c r="Q57" s="46"/>
      <c r="R57" s="46"/>
      <c r="S57" s="46"/>
      <c r="T57" s="44"/>
    </row>
    <row r="58" customHeight="1" spans="1:20">
      <c r="A58" s="44"/>
      <c r="B58" s="47"/>
      <c r="C58" s="48"/>
      <c r="D58" s="48"/>
      <c r="E58" s="48"/>
      <c r="F58" s="48"/>
      <c r="G58" s="48"/>
      <c r="H58" s="48"/>
      <c r="I58" s="48"/>
      <c r="J58" s="48"/>
      <c r="K58" s="48"/>
      <c r="L58" s="48"/>
      <c r="M58" s="48"/>
      <c r="N58" s="48"/>
      <c r="O58" s="48"/>
      <c r="P58" s="48"/>
      <c r="Q58" s="48"/>
      <c r="R58" s="48"/>
      <c r="S58" s="48"/>
      <c r="T58" s="44"/>
    </row>
    <row r="59" customHeight="1" spans="1:20">
      <c r="A59" s="44"/>
      <c r="B59" s="49"/>
      <c r="C59" s="52"/>
      <c r="D59" s="52"/>
      <c r="E59" s="49"/>
      <c r="F59" s="52"/>
      <c r="G59" s="52"/>
      <c r="H59" s="49"/>
      <c r="I59" s="52"/>
      <c r="J59" s="52"/>
      <c r="K59" s="49"/>
      <c r="L59" s="52"/>
      <c r="M59" s="52"/>
      <c r="N59" s="49"/>
      <c r="O59" s="52"/>
      <c r="P59" s="52"/>
      <c r="Q59" s="49"/>
      <c r="R59" s="52"/>
      <c r="S59" s="52"/>
      <c r="T59" s="44"/>
    </row>
    <row r="60" customHeight="1" spans="1:20">
      <c r="A60" s="44"/>
      <c r="B60" s="52"/>
      <c r="C60" s="52"/>
      <c r="D60" s="52"/>
      <c r="E60" s="52"/>
      <c r="F60" s="52"/>
      <c r="G60" s="52"/>
      <c r="H60" s="52"/>
      <c r="I60" s="52"/>
      <c r="J60" s="52"/>
      <c r="K60" s="52"/>
      <c r="L60" s="52"/>
      <c r="M60" s="52"/>
      <c r="N60" s="52"/>
      <c r="O60" s="52"/>
      <c r="P60" s="52"/>
      <c r="Q60" s="52"/>
      <c r="R60" s="52"/>
      <c r="S60" s="52"/>
      <c r="T60" s="44"/>
    </row>
    <row r="61" customHeight="1" spans="1:20">
      <c r="A61" s="44"/>
      <c r="B61" s="49"/>
      <c r="C61" s="52"/>
      <c r="D61" s="52"/>
      <c r="E61" s="49"/>
      <c r="F61" s="52"/>
      <c r="G61" s="52"/>
      <c r="H61" s="49"/>
      <c r="I61" s="52"/>
      <c r="J61" s="52"/>
      <c r="K61" s="49"/>
      <c r="L61" s="52"/>
      <c r="M61" s="52"/>
      <c r="N61" s="49"/>
      <c r="O61" s="52"/>
      <c r="P61" s="52"/>
      <c r="Q61" s="49"/>
      <c r="R61" s="52"/>
      <c r="S61" s="52"/>
      <c r="T61" s="44"/>
    </row>
    <row r="62" customHeight="1" spans="1:20">
      <c r="A62" s="44"/>
      <c r="B62" s="52"/>
      <c r="C62" s="52"/>
      <c r="D62" s="52"/>
      <c r="E62" s="52"/>
      <c r="F62" s="52"/>
      <c r="G62" s="52"/>
      <c r="H62" s="52"/>
      <c r="I62" s="52"/>
      <c r="J62" s="52"/>
      <c r="K62" s="52"/>
      <c r="L62" s="52"/>
      <c r="M62" s="52"/>
      <c r="N62" s="52"/>
      <c r="O62" s="52"/>
      <c r="P62" s="52"/>
      <c r="Q62" s="52"/>
      <c r="R62" s="52"/>
      <c r="S62" s="52"/>
      <c r="T62" s="44"/>
    </row>
    <row r="63" customHeight="1" spans="1:20">
      <c r="A63" s="60"/>
      <c r="B63" s="60"/>
      <c r="C63" s="60"/>
      <c r="D63" s="60"/>
      <c r="E63" s="60"/>
      <c r="F63" s="60"/>
      <c r="G63" s="60"/>
      <c r="H63" s="60"/>
      <c r="I63" s="60"/>
      <c r="J63" s="60"/>
      <c r="K63" s="60"/>
      <c r="L63" s="60"/>
      <c r="M63" s="60"/>
      <c r="N63" s="60"/>
      <c r="O63" s="60"/>
      <c r="P63" s="60"/>
      <c r="Q63" s="60"/>
      <c r="R63" s="60"/>
      <c r="S63" s="60"/>
      <c r="T63" s="60"/>
    </row>
  </sheetData>
  <mergeCells count="112">
    <mergeCell ref="B2:J2"/>
    <mergeCell ref="K2:P2"/>
    <mergeCell ref="Q2:S2"/>
    <mergeCell ref="K3:L3"/>
    <mergeCell ref="M3:N3"/>
    <mergeCell ref="O3:P3"/>
    <mergeCell ref="Q3:S3"/>
    <mergeCell ref="K4:L4"/>
    <mergeCell ref="M4:N4"/>
    <mergeCell ref="O4:P4"/>
    <mergeCell ref="K5:L5"/>
    <mergeCell ref="M5:N5"/>
    <mergeCell ref="K6:L6"/>
    <mergeCell ref="M6:N6"/>
    <mergeCell ref="Q6:S6"/>
    <mergeCell ref="K7:P7"/>
    <mergeCell ref="K8:P8"/>
    <mergeCell ref="B10:S10"/>
    <mergeCell ref="Q11:S11"/>
    <mergeCell ref="Q12:S12"/>
    <mergeCell ref="Q13:S13"/>
    <mergeCell ref="B14:S14"/>
    <mergeCell ref="B15:S15"/>
    <mergeCell ref="B16:D16"/>
    <mergeCell ref="E16:G16"/>
    <mergeCell ref="H16:J16"/>
    <mergeCell ref="K16:M16"/>
    <mergeCell ref="N16:P16"/>
    <mergeCell ref="Q16:S16"/>
    <mergeCell ref="B17:D17"/>
    <mergeCell ref="E17:G17"/>
    <mergeCell ref="H17:J17"/>
    <mergeCell ref="K17:M17"/>
    <mergeCell ref="N17:P17"/>
    <mergeCell ref="Q17:S17"/>
    <mergeCell ref="B35:S35"/>
    <mergeCell ref="B36:S36"/>
    <mergeCell ref="B43:S43"/>
    <mergeCell ref="B46:S46"/>
    <mergeCell ref="B47:S47"/>
    <mergeCell ref="B52:S52"/>
    <mergeCell ref="B57:S57"/>
    <mergeCell ref="B58:S58"/>
    <mergeCell ref="A63:T63"/>
    <mergeCell ref="B11:D13"/>
    <mergeCell ref="E11:G13"/>
    <mergeCell ref="H11:J13"/>
    <mergeCell ref="K11:M13"/>
    <mergeCell ref="N11:O13"/>
    <mergeCell ref="B18:S29"/>
    <mergeCell ref="B30:D33"/>
    <mergeCell ref="E30:S33"/>
    <mergeCell ref="B37:D38"/>
    <mergeCell ref="E37:G38"/>
    <mergeCell ref="H37:J38"/>
    <mergeCell ref="K37:M38"/>
    <mergeCell ref="N37:P38"/>
    <mergeCell ref="Q37:S38"/>
    <mergeCell ref="B39:D40"/>
    <mergeCell ref="E39:G40"/>
    <mergeCell ref="H39:J40"/>
    <mergeCell ref="K39:M40"/>
    <mergeCell ref="N39:P40"/>
    <mergeCell ref="Q39:S40"/>
    <mergeCell ref="B41:D42"/>
    <mergeCell ref="E41:G42"/>
    <mergeCell ref="H41:J42"/>
    <mergeCell ref="K41:M42"/>
    <mergeCell ref="N41:P42"/>
    <mergeCell ref="Q41:S42"/>
    <mergeCell ref="B44:D45"/>
    <mergeCell ref="E44:G45"/>
    <mergeCell ref="H44:J45"/>
    <mergeCell ref="K44:M45"/>
    <mergeCell ref="N44:P45"/>
    <mergeCell ref="Q44:S45"/>
    <mergeCell ref="B48:D49"/>
    <mergeCell ref="E48:G49"/>
    <mergeCell ref="H48:J49"/>
    <mergeCell ref="K48:M49"/>
    <mergeCell ref="N48:P49"/>
    <mergeCell ref="Q48:S49"/>
    <mergeCell ref="B50:D51"/>
    <mergeCell ref="E50:G51"/>
    <mergeCell ref="H50:J51"/>
    <mergeCell ref="K50:M51"/>
    <mergeCell ref="N50:P51"/>
    <mergeCell ref="Q50:S51"/>
    <mergeCell ref="B53:D54"/>
    <mergeCell ref="E53:G54"/>
    <mergeCell ref="H53:J54"/>
    <mergeCell ref="K53:M54"/>
    <mergeCell ref="N53:P54"/>
    <mergeCell ref="Q53:S54"/>
    <mergeCell ref="B55:D56"/>
    <mergeCell ref="E55:G56"/>
    <mergeCell ref="H55:J56"/>
    <mergeCell ref="K55:M56"/>
    <mergeCell ref="N55:P56"/>
    <mergeCell ref="Q55:S56"/>
    <mergeCell ref="B59:D60"/>
    <mergeCell ref="E59:G60"/>
    <mergeCell ref="H59:J60"/>
    <mergeCell ref="K59:M60"/>
    <mergeCell ref="N59:P60"/>
    <mergeCell ref="Q59:S60"/>
    <mergeCell ref="B61:D62"/>
    <mergeCell ref="E61:G62"/>
    <mergeCell ref="H61:J62"/>
    <mergeCell ref="K61:M62"/>
    <mergeCell ref="N61:P62"/>
    <mergeCell ref="Q61:S62"/>
  </mergeCells>
  <dataValidations count="3">
    <dataValidation type="list" allowBlank="1" showInputMessage="1" showErrorMessage="1" sqref="E11:G13">
      <formula1>人物数据!$S:$S</formula1>
    </dataValidation>
    <dataValidation type="list" allowBlank="1" showInputMessage="1" showErrorMessage="1" sqref="K11:M13">
      <formula1>人物数据!$T$1:$T$60</formula1>
    </dataValidation>
    <dataValidation type="list" allowBlank="1" showInputMessage="1" showErrorMessage="1" sqref="C5:J6">
      <formula1>"√"</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X29"/>
  <sheetViews>
    <sheetView tabSelected="1" zoomScale="70" zoomScaleNormal="70" workbookViewId="0">
      <selection activeCell="U42" sqref="U42"/>
    </sheetView>
  </sheetViews>
  <sheetFormatPr defaultColWidth="5.16666666666667" defaultRowHeight="18" customHeight="1"/>
  <cols>
    <col min="1" max="1" width="2.40833333333333" style="21" customWidth="1"/>
    <col min="2" max="5" width="5.15833333333333" style="21"/>
    <col min="6" max="6" width="5.41666666666667" style="21"/>
    <col min="7" max="18" width="5.15833333333333" style="21"/>
    <col min="19" max="19" width="2.40833333333333" style="21" customWidth="1"/>
    <col min="20" max="25" width="5.15833333333333" style="21"/>
    <col min="26" max="26" width="5.16666666666667" style="21"/>
    <col min="27" max="27" width="5.15833333333333" style="21"/>
    <col min="28" max="28" width="2.40833333333333" style="21" customWidth="1"/>
    <col min="29" max="29" width="7.25" style="21" customWidth="1"/>
    <col min="30" max="16384" width="5.15833333333333" style="21"/>
  </cols>
  <sheetData>
    <row r="2" s="21" customFormat="1" customHeight="1" spans="2:24">
      <c r="B2" s="22" t="s">
        <v>262</v>
      </c>
      <c r="C2" s="22"/>
      <c r="D2" s="22"/>
      <c r="E2" s="22"/>
      <c r="F2" s="22"/>
      <c r="G2" s="22"/>
      <c r="H2" s="22"/>
      <c r="I2" s="22"/>
      <c r="J2" s="22"/>
      <c r="K2" s="22"/>
      <c r="L2" s="22"/>
      <c r="M2" s="22"/>
      <c r="N2" s="22"/>
      <c r="O2" s="22"/>
      <c r="P2" s="22"/>
      <c r="Q2" s="22"/>
      <c r="R2" s="22"/>
      <c r="T2" s="23" t="s">
        <v>263</v>
      </c>
      <c r="U2" s="23"/>
      <c r="V2" s="23"/>
      <c r="W2" s="23"/>
      <c r="X2" s="23"/>
    </row>
    <row r="3" s="21" customFormat="1" customHeight="1" spans="2:24">
      <c r="B3" s="24" t="s">
        <v>264</v>
      </c>
      <c r="C3" s="24"/>
      <c r="D3" s="24"/>
      <c r="E3" s="24"/>
      <c r="F3" s="24"/>
      <c r="G3" s="24"/>
      <c r="H3" s="24"/>
      <c r="I3" s="24"/>
      <c r="J3" s="24"/>
      <c r="K3" s="24"/>
      <c r="L3" s="24"/>
      <c r="M3" s="24"/>
      <c r="N3" s="24"/>
      <c r="O3" s="24"/>
      <c r="P3" s="24"/>
      <c r="Q3" s="24"/>
      <c r="R3" s="24"/>
      <c r="T3" s="25" t="s">
        <v>265</v>
      </c>
      <c r="U3" s="25"/>
      <c r="V3" s="25"/>
      <c r="W3" s="25"/>
      <c r="X3" s="25"/>
    </row>
    <row r="4" s="21" customFormat="1" customHeight="1" spans="2:24">
      <c r="B4" s="24"/>
      <c r="C4" s="24"/>
      <c r="D4" s="24"/>
      <c r="E4" s="24"/>
      <c r="F4" s="24"/>
      <c r="G4" s="24"/>
      <c r="H4" s="24"/>
      <c r="I4" s="24"/>
      <c r="J4" s="24"/>
      <c r="K4" s="24"/>
      <c r="L4" s="24"/>
      <c r="M4" s="24"/>
      <c r="N4" s="24"/>
      <c r="O4" s="24"/>
      <c r="P4" s="24"/>
      <c r="Q4" s="24"/>
      <c r="R4" s="24"/>
      <c r="T4" s="26" t="s">
        <v>266</v>
      </c>
      <c r="U4" s="26"/>
      <c r="V4" s="26"/>
      <c r="W4" s="26"/>
      <c r="X4" s="26"/>
    </row>
    <row r="5" s="21" customFormat="1" customHeight="1" spans="2:24">
      <c r="B5" s="24"/>
      <c r="C5" s="24"/>
      <c r="D5" s="24"/>
      <c r="E5" s="24"/>
      <c r="F5" s="24"/>
      <c r="G5" s="24"/>
      <c r="H5" s="24"/>
      <c r="I5" s="24"/>
      <c r="J5" s="24"/>
      <c r="K5" s="24"/>
      <c r="L5" s="24"/>
      <c r="M5" s="24"/>
      <c r="N5" s="24"/>
      <c r="O5" s="24"/>
      <c r="P5" s="24"/>
      <c r="Q5" s="24"/>
      <c r="R5" s="24"/>
      <c r="T5" s="27" t="s">
        <v>267</v>
      </c>
      <c r="U5" s="27"/>
      <c r="V5" s="27"/>
      <c r="W5" s="27"/>
      <c r="X5" s="27"/>
    </row>
    <row r="6" s="21" customFormat="1" customHeight="1" spans="2:24">
      <c r="B6" s="28" t="str">
        <f>人物!A30</f>
        <v>.st格斗0近战0射击0远程0力量0坚韧0敏捷0智力0感知0意志0交际0生命值生命值上限0命运点命运点上限威胁0恐吓0攀爬0运动0游泳0酗酒0狂饮0躲藏0闪避0潜行0估价0逻辑0赌博0警觉0搜查0搜索0察言观色0交易0欺诈0搜集信息0伪装0吸引0扯淡0指挥0</v>
      </c>
      <c r="C6" s="28"/>
      <c r="D6" s="28"/>
      <c r="E6" s="28"/>
      <c r="F6" s="28"/>
      <c r="G6" s="28"/>
      <c r="H6" s="28"/>
      <c r="I6" s="28"/>
      <c r="J6" s="28"/>
      <c r="K6" s="28"/>
      <c r="L6" s="28"/>
      <c r="M6" s="28"/>
      <c r="N6" s="28"/>
      <c r="O6" s="28"/>
      <c r="P6" s="28"/>
      <c r="Q6" s="28"/>
      <c r="R6" s="28"/>
      <c r="T6" s="27" t="s">
        <v>268</v>
      </c>
      <c r="U6" s="27"/>
      <c r="V6" s="27"/>
      <c r="W6" s="27"/>
      <c r="X6" s="27"/>
    </row>
    <row r="7" s="21" customFormat="1" customHeight="1" spans="2:24">
      <c r="B7" s="28"/>
      <c r="C7" s="28"/>
      <c r="D7" s="28"/>
      <c r="E7" s="28"/>
      <c r="F7" s="28"/>
      <c r="G7" s="28"/>
      <c r="H7" s="28"/>
      <c r="I7" s="28"/>
      <c r="J7" s="28"/>
      <c r="K7" s="28"/>
      <c r="L7" s="28"/>
      <c r="M7" s="28"/>
      <c r="N7" s="28"/>
      <c r="O7" s="28"/>
      <c r="P7" s="28"/>
      <c r="Q7" s="28"/>
      <c r="R7" s="28"/>
      <c r="T7" s="27" t="s">
        <v>269</v>
      </c>
      <c r="U7" s="27"/>
      <c r="V7" s="27"/>
      <c r="W7" s="27"/>
      <c r="X7" s="27"/>
    </row>
    <row r="8" s="21" customFormat="1" customHeight="1" spans="2:24">
      <c r="B8" s="28"/>
      <c r="C8" s="28"/>
      <c r="D8" s="28"/>
      <c r="E8" s="28"/>
      <c r="F8" s="28"/>
      <c r="G8" s="28"/>
      <c r="H8" s="28"/>
      <c r="I8" s="28"/>
      <c r="J8" s="28"/>
      <c r="K8" s="28"/>
      <c r="L8" s="28"/>
      <c r="M8" s="28"/>
      <c r="N8" s="28"/>
      <c r="O8" s="28"/>
      <c r="P8" s="28"/>
      <c r="Q8" s="28"/>
      <c r="R8" s="28"/>
      <c r="T8" s="27" t="s">
        <v>270</v>
      </c>
      <c r="U8" s="27"/>
      <c r="V8" s="27"/>
      <c r="W8" s="27"/>
      <c r="X8" s="27"/>
    </row>
    <row r="9" s="21" customFormat="1" customHeight="1" spans="2:24">
      <c r="B9" s="28"/>
      <c r="C9" s="28"/>
      <c r="D9" s="28"/>
      <c r="E9" s="28"/>
      <c r="F9" s="28"/>
      <c r="G9" s="28"/>
      <c r="H9" s="28"/>
      <c r="I9" s="28"/>
      <c r="J9" s="28"/>
      <c r="K9" s="28"/>
      <c r="L9" s="28"/>
      <c r="M9" s="28"/>
      <c r="N9" s="28"/>
      <c r="O9" s="28"/>
      <c r="P9" s="28"/>
      <c r="Q9" s="28"/>
      <c r="R9" s="28"/>
      <c r="T9" s="27" t="s">
        <v>271</v>
      </c>
      <c r="U9" s="27"/>
      <c r="V9" s="27"/>
      <c r="W9" s="27"/>
      <c r="X9" s="27"/>
    </row>
    <row r="10" s="21" customFormat="1" customHeight="1" spans="2:24">
      <c r="B10" s="28"/>
      <c r="C10" s="28"/>
      <c r="D10" s="28"/>
      <c r="E10" s="28"/>
      <c r="F10" s="28"/>
      <c r="G10" s="28"/>
      <c r="H10" s="28"/>
      <c r="I10" s="28"/>
      <c r="J10" s="28"/>
      <c r="K10" s="28"/>
      <c r="L10" s="28"/>
      <c r="M10" s="28"/>
      <c r="N10" s="28"/>
      <c r="O10" s="28"/>
      <c r="P10" s="28"/>
      <c r="Q10" s="28"/>
      <c r="R10" s="28"/>
      <c r="T10" s="27" t="s">
        <v>272</v>
      </c>
      <c r="U10" s="27"/>
      <c r="V10" s="27"/>
      <c r="W10" s="27"/>
      <c r="X10" s="27"/>
    </row>
    <row r="11" s="21" customFormat="1" customHeight="1" spans="2:24">
      <c r="B11" s="28"/>
      <c r="C11" s="28"/>
      <c r="D11" s="28"/>
      <c r="E11" s="28"/>
      <c r="F11" s="28"/>
      <c r="G11" s="28"/>
      <c r="H11" s="28"/>
      <c r="I11" s="28"/>
      <c r="J11" s="28"/>
      <c r="K11" s="28"/>
      <c r="L11" s="28"/>
      <c r="M11" s="28"/>
      <c r="N11" s="28"/>
      <c r="O11" s="28"/>
      <c r="P11" s="28"/>
      <c r="Q11" s="28"/>
      <c r="R11" s="28"/>
    </row>
    <row r="12" s="21" customFormat="1" customHeight="1" spans="2:24">
      <c r="B12" s="22" t="s">
        <v>273</v>
      </c>
      <c r="C12" s="22"/>
      <c r="D12" s="22"/>
      <c r="E12" s="22"/>
      <c r="F12" s="22"/>
      <c r="G12" s="22"/>
      <c r="H12" s="22"/>
      <c r="I12" s="22"/>
      <c r="J12" s="22"/>
      <c r="K12" s="22"/>
      <c r="L12" s="22"/>
      <c r="M12" s="22"/>
      <c r="N12" s="22"/>
      <c r="O12" s="22"/>
      <c r="P12" s="22"/>
      <c r="Q12" s="22"/>
      <c r="R12" s="22"/>
    </row>
    <row r="20" s="21" customFormat="1" customHeight="1" spans="2:18">
      <c r="B20" s="29" t="s">
        <v>274</v>
      </c>
      <c r="C20" s="29"/>
      <c r="D20" s="29"/>
      <c r="E20" s="29"/>
      <c r="F20" s="29"/>
      <c r="G20" s="29"/>
      <c r="H20" s="29"/>
      <c r="I20" s="29"/>
      <c r="J20" s="29"/>
      <c r="K20" s="29"/>
      <c r="L20" s="29"/>
      <c r="M20" s="29"/>
      <c r="N20" s="29"/>
      <c r="O20" s="29"/>
      <c r="P20" s="29"/>
      <c r="Q20" s="29"/>
      <c r="R20" s="29"/>
    </row>
    <row r="21" s="21" customFormat="1" customHeight="1" spans="2:18">
      <c r="B21" s="30" t="s">
        <v>275</v>
      </c>
      <c r="C21" s="31"/>
      <c r="D21" s="32" t="s">
        <v>276</v>
      </c>
      <c r="E21" s="32"/>
      <c r="F21" s="32"/>
      <c r="G21" s="32"/>
      <c r="H21" s="32"/>
      <c r="I21" s="32"/>
      <c r="J21" s="32"/>
      <c r="K21" s="32"/>
      <c r="L21" s="32"/>
      <c r="M21" s="32"/>
      <c r="N21" s="32"/>
      <c r="O21" s="32"/>
      <c r="P21" s="32"/>
      <c r="Q21" s="32"/>
      <c r="R21" s="32"/>
    </row>
    <row r="22" s="21" customFormat="1" customHeight="1" spans="2:18">
      <c r="B22" s="33"/>
      <c r="C22" s="34"/>
      <c r="D22" s="32"/>
      <c r="E22" s="32"/>
      <c r="F22" s="32"/>
      <c r="G22" s="32"/>
      <c r="H22" s="32"/>
      <c r="I22" s="32"/>
      <c r="J22" s="32"/>
      <c r="K22" s="32"/>
      <c r="L22" s="32"/>
      <c r="M22" s="32"/>
      <c r="N22" s="32"/>
      <c r="O22" s="32"/>
      <c r="P22" s="32"/>
      <c r="Q22" s="32"/>
      <c r="R22" s="32"/>
    </row>
    <row r="23" s="21" customFormat="1" customHeight="1" spans="2:18">
      <c r="B23" s="30" t="s">
        <v>277</v>
      </c>
      <c r="C23" s="31"/>
      <c r="D23" s="32" t="s">
        <v>278</v>
      </c>
      <c r="E23" s="32"/>
      <c r="F23" s="32"/>
      <c r="G23" s="32"/>
      <c r="H23" s="32"/>
      <c r="I23" s="32"/>
      <c r="J23" s="32"/>
      <c r="K23" s="32"/>
      <c r="L23" s="32"/>
      <c r="M23" s="32"/>
      <c r="N23" s="32"/>
      <c r="O23" s="32"/>
      <c r="P23" s="32"/>
      <c r="Q23" s="32"/>
      <c r="R23" s="32"/>
    </row>
    <row r="24" s="21" customFormat="1" customHeight="1" spans="2:18">
      <c r="B24" s="33"/>
      <c r="C24" s="34"/>
      <c r="D24" s="32"/>
      <c r="E24" s="32"/>
      <c r="F24" s="32"/>
      <c r="G24" s="32"/>
      <c r="H24" s="32"/>
      <c r="I24" s="32"/>
      <c r="J24" s="32"/>
      <c r="K24" s="32"/>
      <c r="L24" s="32"/>
      <c r="M24" s="32"/>
      <c r="N24" s="32"/>
      <c r="O24" s="32"/>
      <c r="P24" s="32"/>
      <c r="Q24" s="32"/>
      <c r="R24" s="32"/>
    </row>
    <row r="25" s="21" customFormat="1" customHeight="1" spans="2:18">
      <c r="B25" s="35"/>
      <c r="C25" s="36"/>
      <c r="D25" s="32"/>
      <c r="E25" s="32"/>
      <c r="F25" s="32"/>
      <c r="G25" s="32"/>
      <c r="H25" s="32"/>
      <c r="I25" s="32"/>
      <c r="J25" s="32"/>
      <c r="K25" s="32"/>
      <c r="L25" s="32"/>
      <c r="M25" s="32"/>
      <c r="N25" s="32"/>
      <c r="O25" s="32"/>
      <c r="P25" s="32"/>
      <c r="Q25" s="32"/>
      <c r="R25" s="32"/>
    </row>
    <row r="26" s="21" customFormat="1" customHeight="1" spans="2:18">
      <c r="B26" s="30" t="s">
        <v>279</v>
      </c>
      <c r="C26" s="31"/>
      <c r="D26" s="32" t="s">
        <v>280</v>
      </c>
      <c r="E26" s="32"/>
      <c r="F26" s="32"/>
      <c r="G26" s="32"/>
      <c r="H26" s="32"/>
      <c r="I26" s="32"/>
      <c r="J26" s="32"/>
      <c r="K26" s="32"/>
      <c r="L26" s="32"/>
      <c r="M26" s="32"/>
      <c r="N26" s="32"/>
      <c r="O26" s="32"/>
      <c r="P26" s="32"/>
      <c r="Q26" s="32"/>
      <c r="R26" s="32"/>
    </row>
    <row r="27" s="21" customFormat="1" customHeight="1" spans="2:18">
      <c r="B27" s="33"/>
      <c r="C27" s="34"/>
      <c r="D27" s="32"/>
      <c r="E27" s="32"/>
      <c r="F27" s="32"/>
      <c r="G27" s="32"/>
      <c r="H27" s="32"/>
      <c r="I27" s="32"/>
      <c r="J27" s="32"/>
      <c r="K27" s="32"/>
      <c r="L27" s="32"/>
      <c r="M27" s="32"/>
      <c r="N27" s="32"/>
      <c r="O27" s="32"/>
      <c r="P27" s="32"/>
      <c r="Q27" s="32"/>
      <c r="R27" s="32"/>
    </row>
    <row r="28" s="21" customFormat="1" customHeight="1" spans="2:18">
      <c r="B28" s="35"/>
      <c r="C28" s="36"/>
      <c r="D28" s="32"/>
      <c r="E28" s="32"/>
      <c r="F28" s="32"/>
      <c r="G28" s="32"/>
      <c r="H28" s="32"/>
      <c r="I28" s="32"/>
      <c r="J28" s="32"/>
      <c r="K28" s="32"/>
      <c r="L28" s="32"/>
      <c r="M28" s="32"/>
      <c r="N28" s="32"/>
      <c r="O28" s="32"/>
      <c r="P28" s="32"/>
      <c r="Q28" s="32"/>
      <c r="R28" s="32"/>
    </row>
    <row r="29" customHeight="1" spans="2:18">
      <c r="B29" s="37" t="s">
        <v>281</v>
      </c>
      <c r="C29" s="38"/>
      <c r="D29" s="39" t="s">
        <v>282</v>
      </c>
      <c r="E29" s="40"/>
      <c r="F29" s="40"/>
      <c r="G29" s="40"/>
      <c r="H29" s="40"/>
      <c r="I29" s="40"/>
      <c r="J29" s="40"/>
      <c r="K29" s="40"/>
      <c r="L29" s="40"/>
      <c r="M29" s="40"/>
      <c r="N29" s="40"/>
      <c r="O29" s="40"/>
      <c r="P29" s="40"/>
      <c r="Q29" s="40"/>
      <c r="R29" s="41"/>
    </row>
  </sheetData>
  <mergeCells count="22">
    <mergeCell ref="B2:R2"/>
    <mergeCell ref="T2:X2"/>
    <mergeCell ref="T3:X3"/>
    <mergeCell ref="T4:X4"/>
    <mergeCell ref="T5:X5"/>
    <mergeCell ref="T6:X6"/>
    <mergeCell ref="T7:X7"/>
    <mergeCell ref="T8:X8"/>
    <mergeCell ref="T9:X9"/>
    <mergeCell ref="T10:X10"/>
    <mergeCell ref="B12:R12"/>
    <mergeCell ref="B20:R20"/>
    <mergeCell ref="B29:C29"/>
    <mergeCell ref="D29:R29"/>
    <mergeCell ref="B3:R5"/>
    <mergeCell ref="B6:R11"/>
    <mergeCell ref="B21:C22"/>
    <mergeCell ref="B23:C25"/>
    <mergeCell ref="D21:R22"/>
    <mergeCell ref="D23:R25"/>
    <mergeCell ref="B26:C28"/>
    <mergeCell ref="D26:R28"/>
  </mergeCells>
  <pageMargins left="0.7" right="0.7" top="0.75" bottom="0.75" header="0.511811023622047" footer="0.511811023622047"/>
  <pageSetup paperSize="9" orientation="portrait" horizontalDpi="300" verticalDpi="3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35"/>
  <sheetViews>
    <sheetView zoomScale="70" zoomScaleNormal="70" workbookViewId="0">
      <pane ySplit="2" topLeftCell="A3" activePane="bottomLeft" state="frozen"/>
      <selection/>
      <selection pane="bottomLeft" activeCell="H18" sqref="H18"/>
    </sheetView>
  </sheetViews>
  <sheetFormatPr defaultColWidth="12.5833333333333" defaultRowHeight="20" customHeight="1"/>
  <cols>
    <col min="1" max="1" width="3.33333333333333" style="12" customWidth="1"/>
    <col min="2" max="2" width="15.5833333333333" style="13" customWidth="1"/>
    <col min="3" max="3" width="12.5833333333333" style="14" customWidth="1"/>
    <col min="4" max="4" width="7.58333333333333" style="12" customWidth="1"/>
    <col min="5" max="5" width="15.5833333333333" style="12" customWidth="1"/>
    <col min="6" max="6" width="7.58333333333333" style="12" customWidth="1"/>
    <col min="7" max="7" width="15.5833333333333" style="12" customWidth="1"/>
    <col min="8" max="9" width="40.5833333333333" style="12" customWidth="1"/>
    <col min="10" max="16383" width="12.5833333333333" style="12" customWidth="1"/>
    <col min="16384" max="16384" width="12.5833333333333" style="12"/>
  </cols>
  <sheetData>
    <row r="1" s="10" customFormat="1" customHeight="1" spans="2:9">
      <c r="B1" s="13"/>
      <c r="C1" s="15"/>
    </row>
    <row r="2" s="11" customFormat="1" customHeight="1" spans="2:9">
      <c r="B2" s="16" t="s">
        <v>249</v>
      </c>
      <c r="C2" s="16" t="s">
        <v>248</v>
      </c>
      <c r="D2" s="16" t="s">
        <v>252</v>
      </c>
      <c r="E2" s="16" t="s">
        <v>253</v>
      </c>
      <c r="F2" s="16" t="s">
        <v>254</v>
      </c>
      <c r="G2" s="16" t="s">
        <v>255</v>
      </c>
      <c r="H2" s="16" t="s">
        <v>283</v>
      </c>
      <c r="I2" s="16" t="s">
        <v>256</v>
      </c>
    </row>
    <row r="3" customHeight="1" spans="2:9">
      <c r="B3" s="17" t="s">
        <v>284</v>
      </c>
      <c r="C3" s="18" t="s">
        <v>258</v>
      </c>
      <c r="D3" s="19">
        <v>6</v>
      </c>
      <c r="E3" s="19" t="s">
        <v>285</v>
      </c>
      <c r="F3" s="19" t="s">
        <v>286</v>
      </c>
      <c r="G3" s="19" t="s">
        <v>287</v>
      </c>
      <c r="H3" s="19" t="s">
        <v>288</v>
      </c>
      <c r="I3" s="19" t="s">
        <v>289</v>
      </c>
    </row>
    <row r="4" customHeight="1" spans="2:9">
      <c r="B4" s="17" t="s">
        <v>290</v>
      </c>
      <c r="C4" s="18" t="s">
        <v>258</v>
      </c>
      <c r="D4" s="19">
        <v>8</v>
      </c>
      <c r="E4" s="19" t="s">
        <v>291</v>
      </c>
      <c r="F4" s="19" t="s">
        <v>78</v>
      </c>
      <c r="G4" s="19" t="s">
        <v>292</v>
      </c>
      <c r="H4" s="19" t="s">
        <v>293</v>
      </c>
      <c r="I4" s="19" t="s">
        <v>294</v>
      </c>
    </row>
    <row r="5" customHeight="1" spans="2:9">
      <c r="B5" s="17" t="s">
        <v>295</v>
      </c>
      <c r="C5" s="18" t="s">
        <v>258</v>
      </c>
      <c r="D5" s="19">
        <v>7</v>
      </c>
      <c r="E5" s="19" t="s">
        <v>291</v>
      </c>
      <c r="F5" s="19" t="s">
        <v>78</v>
      </c>
      <c r="G5" s="19" t="s">
        <v>296</v>
      </c>
      <c r="H5" s="19" t="s">
        <v>297</v>
      </c>
      <c r="I5" s="19" t="s">
        <v>298</v>
      </c>
    </row>
    <row r="6" customHeight="1" spans="2:9">
      <c r="B6" s="17" t="s">
        <v>299</v>
      </c>
      <c r="C6" s="18" t="s">
        <v>258</v>
      </c>
      <c r="D6" s="19">
        <v>8</v>
      </c>
      <c r="E6" s="19" t="s">
        <v>285</v>
      </c>
      <c r="F6" s="19" t="s">
        <v>78</v>
      </c>
      <c r="G6" s="19" t="s">
        <v>296</v>
      </c>
      <c r="H6" s="19" t="s">
        <v>300</v>
      </c>
      <c r="I6" s="19" t="s">
        <v>301</v>
      </c>
    </row>
    <row r="7" customHeight="1" spans="2:9">
      <c r="B7" s="17" t="s">
        <v>302</v>
      </c>
      <c r="C7" s="18" t="s">
        <v>258</v>
      </c>
      <c r="D7" s="19">
        <v>7</v>
      </c>
      <c r="E7" s="19" t="s">
        <v>285</v>
      </c>
      <c r="F7" s="19" t="s">
        <v>78</v>
      </c>
      <c r="G7" s="19" t="s">
        <v>292</v>
      </c>
      <c r="H7" s="19" t="s">
        <v>303</v>
      </c>
      <c r="I7" s="19" t="s">
        <v>289</v>
      </c>
    </row>
    <row r="8" customHeight="1" spans="2:9">
      <c r="B8" s="17" t="s">
        <v>304</v>
      </c>
      <c r="C8" s="18" t="s">
        <v>258</v>
      </c>
      <c r="D8" s="19">
        <v>5</v>
      </c>
      <c r="E8" s="19" t="s">
        <v>291</v>
      </c>
      <c r="F8" s="19" t="s">
        <v>286</v>
      </c>
      <c r="G8" s="19" t="s">
        <v>287</v>
      </c>
      <c r="H8" s="19" t="s">
        <v>305</v>
      </c>
      <c r="I8" s="19" t="s">
        <v>289</v>
      </c>
    </row>
    <row r="9" customHeight="1" spans="2:9">
      <c r="B9" s="17" t="s">
        <v>306</v>
      </c>
      <c r="C9" s="18" t="s">
        <v>258</v>
      </c>
      <c r="D9" s="19">
        <v>8</v>
      </c>
      <c r="E9" s="19" t="s">
        <v>285</v>
      </c>
      <c r="F9" s="19" t="s">
        <v>286</v>
      </c>
      <c r="G9" s="19" t="s">
        <v>292</v>
      </c>
      <c r="H9" s="19" t="s">
        <v>307</v>
      </c>
      <c r="I9" s="19" t="s">
        <v>308</v>
      </c>
    </row>
    <row r="10" customHeight="1" spans="2:9">
      <c r="B10" s="17" t="s">
        <v>309</v>
      </c>
      <c r="C10" s="18" t="s">
        <v>258</v>
      </c>
      <c r="D10" s="19">
        <v>6</v>
      </c>
      <c r="E10" s="19" t="s">
        <v>291</v>
      </c>
      <c r="F10" s="19" t="s">
        <v>78</v>
      </c>
      <c r="G10" s="19" t="s">
        <v>310</v>
      </c>
      <c r="H10" s="19" t="s">
        <v>311</v>
      </c>
      <c r="I10" s="19" t="s">
        <v>312</v>
      </c>
    </row>
    <row r="11" customHeight="1" spans="2:9">
      <c r="B11" s="17" t="s">
        <v>313</v>
      </c>
      <c r="C11" s="18" t="s">
        <v>258</v>
      </c>
      <c r="D11" s="19">
        <v>7</v>
      </c>
      <c r="E11" s="19" t="s">
        <v>291</v>
      </c>
      <c r="F11" s="19" t="s">
        <v>286</v>
      </c>
      <c r="G11" s="19" t="s">
        <v>287</v>
      </c>
      <c r="H11" s="19" t="s">
        <v>314</v>
      </c>
      <c r="I11" s="19" t="s">
        <v>289</v>
      </c>
    </row>
    <row r="12" customHeight="1" spans="2:9">
      <c r="B12" s="17" t="s">
        <v>315</v>
      </c>
      <c r="C12" s="18" t="s">
        <v>258</v>
      </c>
      <c r="D12" s="19">
        <v>6</v>
      </c>
      <c r="E12" s="19" t="s">
        <v>316</v>
      </c>
      <c r="F12" s="19" t="s">
        <v>78</v>
      </c>
      <c r="G12" s="19" t="s">
        <v>287</v>
      </c>
      <c r="H12" s="19" t="s">
        <v>317</v>
      </c>
      <c r="I12" s="19" t="s">
        <v>289</v>
      </c>
    </row>
    <row r="13" customHeight="1" spans="2:9">
      <c r="B13" s="17" t="s">
        <v>318</v>
      </c>
      <c r="C13" s="18" t="s">
        <v>258</v>
      </c>
      <c r="D13" s="19">
        <v>6</v>
      </c>
      <c r="E13" s="19" t="s">
        <v>285</v>
      </c>
      <c r="F13" s="19" t="s">
        <v>78</v>
      </c>
      <c r="G13" s="19" t="s">
        <v>319</v>
      </c>
      <c r="H13" s="19" t="s">
        <v>320</v>
      </c>
      <c r="I13" s="19" t="s">
        <v>321</v>
      </c>
    </row>
    <row r="14" customHeight="1" spans="2:9">
      <c r="B14" s="17" t="s">
        <v>322</v>
      </c>
      <c r="C14" s="18" t="s">
        <v>258</v>
      </c>
      <c r="D14" s="19">
        <v>8</v>
      </c>
      <c r="E14" s="19" t="s">
        <v>291</v>
      </c>
      <c r="F14" s="19" t="s">
        <v>78</v>
      </c>
      <c r="G14" s="19" t="s">
        <v>287</v>
      </c>
      <c r="H14" s="19" t="s">
        <v>323</v>
      </c>
      <c r="I14" s="19" t="s">
        <v>289</v>
      </c>
    </row>
    <row r="15" customHeight="1" spans="2:9">
      <c r="B15" s="17" t="s">
        <v>324</v>
      </c>
      <c r="C15" s="18" t="s">
        <v>258</v>
      </c>
      <c r="D15" s="19">
        <v>7</v>
      </c>
      <c r="E15" s="19" t="s">
        <v>291</v>
      </c>
      <c r="F15" s="19" t="s">
        <v>286</v>
      </c>
      <c r="G15" s="19" t="s">
        <v>296</v>
      </c>
      <c r="H15" s="19" t="s">
        <v>325</v>
      </c>
      <c r="I15" s="19" t="s">
        <v>326</v>
      </c>
    </row>
    <row r="16" customHeight="1" spans="2:9">
      <c r="B16" s="17" t="s">
        <v>327</v>
      </c>
      <c r="C16" s="18" t="s">
        <v>258</v>
      </c>
      <c r="D16" s="19">
        <v>5</v>
      </c>
      <c r="E16" s="19" t="s">
        <v>291</v>
      </c>
      <c r="F16" s="19" t="s">
        <v>286</v>
      </c>
      <c r="G16" s="19" t="s">
        <v>287</v>
      </c>
      <c r="H16" s="19" t="s">
        <v>328</v>
      </c>
      <c r="I16" s="19" t="s">
        <v>329</v>
      </c>
    </row>
    <row r="17" customHeight="1" spans="2:9">
      <c r="B17" s="17" t="s">
        <v>330</v>
      </c>
      <c r="C17" s="18" t="s">
        <v>258</v>
      </c>
      <c r="D17" s="19">
        <v>6</v>
      </c>
      <c r="E17" s="19" t="s">
        <v>291</v>
      </c>
      <c r="F17" s="19" t="s">
        <v>78</v>
      </c>
      <c r="G17" s="19" t="s">
        <v>287</v>
      </c>
      <c r="H17" s="19" t="s">
        <v>331</v>
      </c>
      <c r="I17" s="19" t="s">
        <v>289</v>
      </c>
    </row>
    <row r="18" customHeight="1" spans="2:9">
      <c r="B18" s="17" t="s">
        <v>332</v>
      </c>
      <c r="C18" s="18" t="s">
        <v>258</v>
      </c>
      <c r="D18" s="19">
        <v>9</v>
      </c>
      <c r="E18" s="19" t="s">
        <v>285</v>
      </c>
      <c r="F18" s="19" t="s">
        <v>78</v>
      </c>
      <c r="G18" s="19" t="s">
        <v>333</v>
      </c>
      <c r="H18" s="19" t="s">
        <v>334</v>
      </c>
      <c r="I18" s="19" t="s">
        <v>335</v>
      </c>
    </row>
    <row r="19" customHeight="1" spans="2:9">
      <c r="B19" s="17" t="s">
        <v>336</v>
      </c>
      <c r="C19" s="18" t="s">
        <v>258</v>
      </c>
      <c r="D19" s="19">
        <v>8</v>
      </c>
      <c r="E19" s="19" t="s">
        <v>291</v>
      </c>
      <c r="F19" s="19" t="s">
        <v>78</v>
      </c>
      <c r="G19" s="19" t="s">
        <v>337</v>
      </c>
      <c r="H19" s="19" t="s">
        <v>338</v>
      </c>
      <c r="I19" s="19" t="s">
        <v>289</v>
      </c>
    </row>
    <row r="20" customHeight="1" spans="2:9">
      <c r="B20" s="17" t="s">
        <v>339</v>
      </c>
      <c r="C20" s="18" t="s">
        <v>258</v>
      </c>
      <c r="D20" s="19">
        <v>7</v>
      </c>
      <c r="E20" s="19" t="s">
        <v>285</v>
      </c>
      <c r="F20" s="19" t="s">
        <v>286</v>
      </c>
      <c r="G20" s="19" t="s">
        <v>287</v>
      </c>
      <c r="H20" s="19" t="s">
        <v>340</v>
      </c>
      <c r="I20" s="19" t="s">
        <v>341</v>
      </c>
    </row>
    <row r="21" customHeight="1" spans="2:9">
      <c r="B21" s="17" t="s">
        <v>342</v>
      </c>
      <c r="C21" s="18" t="s">
        <v>258</v>
      </c>
      <c r="D21" s="19">
        <v>5</v>
      </c>
      <c r="E21" s="19" t="s">
        <v>291</v>
      </c>
      <c r="F21" s="19" t="s">
        <v>78</v>
      </c>
      <c r="G21" s="19" t="s">
        <v>343</v>
      </c>
      <c r="H21" s="19" t="s">
        <v>344</v>
      </c>
      <c r="I21" s="19" t="s">
        <v>289</v>
      </c>
    </row>
    <row r="22" customHeight="1" spans="2:9">
      <c r="B22" s="17" t="s">
        <v>345</v>
      </c>
      <c r="C22" s="18" t="s">
        <v>258</v>
      </c>
      <c r="D22" s="19">
        <v>8</v>
      </c>
      <c r="E22" s="19" t="s">
        <v>291</v>
      </c>
      <c r="F22" s="19" t="s">
        <v>78</v>
      </c>
      <c r="G22" s="19" t="s">
        <v>292</v>
      </c>
      <c r="H22" s="19" t="s">
        <v>346</v>
      </c>
      <c r="I22" s="19" t="s">
        <v>347</v>
      </c>
    </row>
    <row r="23" customHeight="1" spans="2:9">
      <c r="B23" s="17" t="s">
        <v>348</v>
      </c>
      <c r="C23" s="18" t="s">
        <v>258</v>
      </c>
      <c r="D23" s="19">
        <v>8</v>
      </c>
      <c r="E23" s="19" t="s">
        <v>349</v>
      </c>
      <c r="F23" s="19" t="s">
        <v>78</v>
      </c>
      <c r="G23" s="19" t="s">
        <v>287</v>
      </c>
      <c r="H23" s="19" t="s">
        <v>350</v>
      </c>
      <c r="I23" s="19" t="s">
        <v>289</v>
      </c>
    </row>
    <row r="24" customHeight="1" spans="2:9">
      <c r="B24" s="17" t="s">
        <v>351</v>
      </c>
      <c r="C24" s="18" t="s">
        <v>258</v>
      </c>
      <c r="D24" s="19">
        <v>8</v>
      </c>
      <c r="E24" s="19" t="s">
        <v>291</v>
      </c>
      <c r="F24" s="19" t="s">
        <v>286</v>
      </c>
      <c r="G24" s="19" t="s">
        <v>287</v>
      </c>
      <c r="H24" s="19" t="s">
        <v>352</v>
      </c>
      <c r="I24" s="19" t="s">
        <v>289</v>
      </c>
    </row>
    <row r="25" customHeight="1" spans="2:9">
      <c r="B25" s="17" t="s">
        <v>353</v>
      </c>
      <c r="C25" s="18" t="s">
        <v>258</v>
      </c>
      <c r="D25" s="19">
        <v>10</v>
      </c>
      <c r="E25" s="19" t="s">
        <v>285</v>
      </c>
      <c r="F25" s="19" t="s">
        <v>78</v>
      </c>
      <c r="G25" s="19" t="s">
        <v>337</v>
      </c>
      <c r="H25" s="19" t="s">
        <v>354</v>
      </c>
      <c r="I25" s="19" t="s">
        <v>289</v>
      </c>
    </row>
    <row r="26" customHeight="1" spans="2:9">
      <c r="B26" s="17" t="s">
        <v>355</v>
      </c>
      <c r="C26" s="18" t="s">
        <v>258</v>
      </c>
      <c r="D26" s="19">
        <v>6</v>
      </c>
      <c r="E26" s="19" t="s">
        <v>291</v>
      </c>
      <c r="F26" s="19" t="s">
        <v>78</v>
      </c>
      <c r="G26" s="19" t="s">
        <v>292</v>
      </c>
      <c r="H26" s="19" t="s">
        <v>356</v>
      </c>
      <c r="I26" s="19" t="s">
        <v>357</v>
      </c>
    </row>
    <row r="27" customHeight="1" spans="2:9">
      <c r="B27" s="17" t="s">
        <v>358</v>
      </c>
      <c r="C27" s="18" t="s">
        <v>258</v>
      </c>
      <c r="D27" s="19">
        <v>9</v>
      </c>
      <c r="E27" s="19" t="s">
        <v>285</v>
      </c>
      <c r="F27" s="19" t="s">
        <v>286</v>
      </c>
      <c r="G27" s="19" t="s">
        <v>337</v>
      </c>
      <c r="H27" s="19" t="s">
        <v>359</v>
      </c>
      <c r="I27" s="19" t="s">
        <v>360</v>
      </c>
    </row>
    <row r="28" customHeight="1" spans="2:9">
      <c r="B28" s="17" t="s">
        <v>361</v>
      </c>
      <c r="C28" s="18" t="s">
        <v>258</v>
      </c>
      <c r="D28" s="19">
        <v>7</v>
      </c>
      <c r="E28" s="19" t="s">
        <v>291</v>
      </c>
      <c r="F28" s="19" t="s">
        <v>78</v>
      </c>
      <c r="G28" s="19" t="s">
        <v>287</v>
      </c>
      <c r="H28" s="19" t="s">
        <v>362</v>
      </c>
      <c r="I28" s="19" t="s">
        <v>289</v>
      </c>
    </row>
    <row r="29" customHeight="1" spans="2:9">
      <c r="B29" s="17" t="s">
        <v>363</v>
      </c>
      <c r="C29" s="18" t="s">
        <v>258</v>
      </c>
      <c r="D29" s="19">
        <v>8</v>
      </c>
      <c r="E29" s="19" t="s">
        <v>285</v>
      </c>
      <c r="F29" s="19" t="s">
        <v>78</v>
      </c>
      <c r="G29" s="19" t="s">
        <v>296</v>
      </c>
      <c r="H29" s="19" t="s">
        <v>364</v>
      </c>
      <c r="I29" s="19" t="s">
        <v>308</v>
      </c>
    </row>
    <row r="30" customHeight="1" spans="2:9">
      <c r="B30" s="17" t="s">
        <v>365</v>
      </c>
      <c r="C30" s="18" t="s">
        <v>258</v>
      </c>
      <c r="D30" s="19">
        <v>11</v>
      </c>
      <c r="E30" s="19" t="s">
        <v>285</v>
      </c>
      <c r="F30" s="19" t="s">
        <v>78</v>
      </c>
      <c r="G30" s="19" t="s">
        <v>366</v>
      </c>
      <c r="H30" s="19" t="s">
        <v>367</v>
      </c>
      <c r="I30" s="19" t="s">
        <v>368</v>
      </c>
    </row>
    <row r="31" customHeight="1" spans="2:9">
      <c r="B31" s="17" t="s">
        <v>369</v>
      </c>
      <c r="C31" s="18" t="s">
        <v>258</v>
      </c>
      <c r="D31" s="19">
        <v>6</v>
      </c>
      <c r="E31" s="19" t="s">
        <v>291</v>
      </c>
      <c r="F31" s="19" t="s">
        <v>286</v>
      </c>
      <c r="G31" s="19" t="s">
        <v>287</v>
      </c>
      <c r="H31" s="19" t="s">
        <v>370</v>
      </c>
      <c r="I31" s="19" t="s">
        <v>289</v>
      </c>
    </row>
    <row r="32" customHeight="1" spans="2:9">
      <c r="B32" s="17" t="s">
        <v>371</v>
      </c>
      <c r="C32" s="18" t="s">
        <v>258</v>
      </c>
      <c r="D32" s="19">
        <v>8</v>
      </c>
      <c r="E32" s="19" t="s">
        <v>291</v>
      </c>
      <c r="F32" s="19" t="s">
        <v>286</v>
      </c>
      <c r="G32" s="19" t="s">
        <v>366</v>
      </c>
      <c r="H32" s="19" t="s">
        <v>372</v>
      </c>
      <c r="I32" s="19" t="s">
        <v>368</v>
      </c>
    </row>
    <row r="33" customHeight="1" spans="2:9">
      <c r="B33" s="17" t="s">
        <v>373</v>
      </c>
      <c r="C33" s="18" t="s">
        <v>258</v>
      </c>
      <c r="D33" s="19">
        <v>5</v>
      </c>
      <c r="E33" s="19" t="s">
        <v>291</v>
      </c>
      <c r="F33" s="19" t="s">
        <v>78</v>
      </c>
      <c r="G33" s="19" t="s">
        <v>374</v>
      </c>
      <c r="H33" s="19" t="s">
        <v>375</v>
      </c>
      <c r="I33" s="19" t="s">
        <v>289</v>
      </c>
    </row>
    <row r="34" customHeight="1" spans="2:9">
      <c r="B34" s="17" t="s">
        <v>376</v>
      </c>
      <c r="C34" s="18" t="s">
        <v>258</v>
      </c>
      <c r="D34" s="19">
        <v>8</v>
      </c>
      <c r="E34" s="19" t="s">
        <v>291</v>
      </c>
      <c r="F34" s="19" t="s">
        <v>286</v>
      </c>
      <c r="G34" s="19" t="s">
        <v>287</v>
      </c>
      <c r="H34" s="19" t="s">
        <v>377</v>
      </c>
      <c r="I34" s="19" t="s">
        <v>289</v>
      </c>
    </row>
    <row r="35" customHeight="1" spans="2:9">
      <c r="B35" s="17" t="s">
        <v>378</v>
      </c>
      <c r="C35" s="18" t="s">
        <v>258</v>
      </c>
      <c r="D35" s="19">
        <v>8</v>
      </c>
      <c r="E35" s="19" t="s">
        <v>291</v>
      </c>
      <c r="F35" s="19" t="s">
        <v>286</v>
      </c>
      <c r="G35" s="19" t="s">
        <v>287</v>
      </c>
      <c r="H35" s="19" t="s">
        <v>379</v>
      </c>
      <c r="I35" s="19" t="s">
        <v>289</v>
      </c>
    </row>
    <row r="36" customHeight="1" spans="2:9">
      <c r="B36" s="17" t="s">
        <v>380</v>
      </c>
      <c r="C36" s="18" t="s">
        <v>258</v>
      </c>
      <c r="D36" s="19">
        <v>9</v>
      </c>
      <c r="E36" s="19" t="s">
        <v>291</v>
      </c>
      <c r="F36" s="19" t="s">
        <v>78</v>
      </c>
      <c r="G36" s="19" t="s">
        <v>292</v>
      </c>
      <c r="H36" s="19" t="s">
        <v>381</v>
      </c>
      <c r="I36" s="19" t="s">
        <v>289</v>
      </c>
    </row>
    <row r="37" customHeight="1" spans="2:9">
      <c r="B37" s="17" t="s">
        <v>382</v>
      </c>
      <c r="C37" s="18" t="s">
        <v>258</v>
      </c>
      <c r="D37" s="19">
        <v>11</v>
      </c>
      <c r="E37" s="19" t="s">
        <v>291</v>
      </c>
      <c r="F37" s="19" t="s">
        <v>78</v>
      </c>
      <c r="G37" s="19" t="s">
        <v>287</v>
      </c>
      <c r="H37" s="19" t="s">
        <v>383</v>
      </c>
      <c r="I37" s="19" t="s">
        <v>289</v>
      </c>
    </row>
    <row r="38" customHeight="1" spans="2:9">
      <c r="B38" s="17" t="s">
        <v>384</v>
      </c>
      <c r="C38" s="18" t="s">
        <v>258</v>
      </c>
      <c r="D38" s="19">
        <v>9</v>
      </c>
      <c r="E38" s="19" t="s">
        <v>291</v>
      </c>
      <c r="F38" s="19" t="s">
        <v>78</v>
      </c>
      <c r="G38" s="19" t="s">
        <v>385</v>
      </c>
      <c r="H38" s="19" t="s">
        <v>386</v>
      </c>
      <c r="I38" s="19" t="s">
        <v>289</v>
      </c>
    </row>
    <row r="39" customHeight="1" spans="2:9">
      <c r="B39" s="17" t="s">
        <v>387</v>
      </c>
      <c r="C39" s="18" t="s">
        <v>258</v>
      </c>
      <c r="D39" s="19">
        <v>13</v>
      </c>
      <c r="E39" s="19" t="s">
        <v>285</v>
      </c>
      <c r="F39" s="19" t="s">
        <v>78</v>
      </c>
      <c r="G39" s="19" t="s">
        <v>287</v>
      </c>
      <c r="H39" s="19" t="s">
        <v>388</v>
      </c>
      <c r="I39" s="19" t="s">
        <v>289</v>
      </c>
    </row>
    <row r="40" customHeight="1" spans="2:9">
      <c r="B40" s="17" t="s">
        <v>389</v>
      </c>
      <c r="C40" s="18" t="s">
        <v>258</v>
      </c>
      <c r="D40" s="19">
        <v>9</v>
      </c>
      <c r="E40" s="19" t="s">
        <v>285</v>
      </c>
      <c r="F40" s="19" t="s">
        <v>78</v>
      </c>
      <c r="G40" s="19" t="s">
        <v>343</v>
      </c>
      <c r="H40" s="19" t="s">
        <v>390</v>
      </c>
      <c r="I40" s="19" t="s">
        <v>289</v>
      </c>
    </row>
    <row r="41" customHeight="1" spans="2:9">
      <c r="B41" s="17" t="s">
        <v>391</v>
      </c>
      <c r="C41" s="18" t="s">
        <v>258</v>
      </c>
      <c r="D41" s="19">
        <v>6</v>
      </c>
      <c r="E41" s="19" t="s">
        <v>285</v>
      </c>
      <c r="F41" s="19" t="s">
        <v>78</v>
      </c>
      <c r="G41" s="19" t="s">
        <v>343</v>
      </c>
      <c r="H41" s="19" t="s">
        <v>392</v>
      </c>
      <c r="I41" s="19" t="s">
        <v>289</v>
      </c>
    </row>
    <row r="42" customHeight="1" spans="2:9">
      <c r="B42" s="17" t="s">
        <v>393</v>
      </c>
      <c r="C42" s="18" t="s">
        <v>258</v>
      </c>
      <c r="D42" s="19">
        <v>6</v>
      </c>
      <c r="E42" s="19" t="s">
        <v>285</v>
      </c>
      <c r="F42" s="19" t="s">
        <v>286</v>
      </c>
      <c r="G42" s="19" t="s">
        <v>343</v>
      </c>
      <c r="H42" s="19" t="s">
        <v>394</v>
      </c>
      <c r="I42" s="19" t="s">
        <v>289</v>
      </c>
    </row>
    <row r="43" customHeight="1" spans="2:9">
      <c r="B43" s="17" t="s">
        <v>395</v>
      </c>
      <c r="C43" s="18" t="s">
        <v>258</v>
      </c>
      <c r="D43" s="19">
        <v>10</v>
      </c>
      <c r="E43" s="19" t="s">
        <v>285</v>
      </c>
      <c r="F43" s="19" t="s">
        <v>78</v>
      </c>
      <c r="G43" s="19" t="s">
        <v>343</v>
      </c>
      <c r="H43" s="19" t="s">
        <v>396</v>
      </c>
      <c r="I43" s="19" t="s">
        <v>289</v>
      </c>
    </row>
    <row r="44" customHeight="1" spans="2:9">
      <c r="B44" s="17" t="s">
        <v>397</v>
      </c>
      <c r="C44" s="18" t="s">
        <v>258</v>
      </c>
      <c r="D44" s="19">
        <v>10</v>
      </c>
      <c r="E44" s="19" t="s">
        <v>285</v>
      </c>
      <c r="F44" s="19" t="s">
        <v>78</v>
      </c>
      <c r="G44" s="19" t="s">
        <v>398</v>
      </c>
      <c r="H44" s="19" t="s">
        <v>399</v>
      </c>
      <c r="I44" s="19" t="s">
        <v>400</v>
      </c>
    </row>
    <row r="45" customHeight="1" spans="2:9">
      <c r="B45" s="17" t="s">
        <v>401</v>
      </c>
      <c r="C45" s="18" t="s">
        <v>258</v>
      </c>
      <c r="D45" s="19">
        <v>8</v>
      </c>
      <c r="E45" s="19" t="s">
        <v>285</v>
      </c>
      <c r="F45" s="19" t="s">
        <v>286</v>
      </c>
      <c r="G45" s="19" t="s">
        <v>287</v>
      </c>
      <c r="H45" s="19" t="s">
        <v>402</v>
      </c>
      <c r="I45" s="19" t="s">
        <v>403</v>
      </c>
    </row>
    <row r="46" customHeight="1" spans="2:9">
      <c r="B46" s="17" t="s">
        <v>404</v>
      </c>
      <c r="C46" s="18" t="s">
        <v>258</v>
      </c>
      <c r="D46" s="19">
        <v>7</v>
      </c>
      <c r="E46" s="19" t="s">
        <v>291</v>
      </c>
      <c r="F46" s="19" t="s">
        <v>286</v>
      </c>
      <c r="G46" s="19" t="s">
        <v>296</v>
      </c>
      <c r="H46" s="19" t="s">
        <v>405</v>
      </c>
      <c r="I46" s="19" t="s">
        <v>326</v>
      </c>
    </row>
    <row r="47" customHeight="1" spans="2:9">
      <c r="B47" s="17" t="s">
        <v>406</v>
      </c>
      <c r="C47" s="18" t="s">
        <v>258</v>
      </c>
      <c r="D47" s="19">
        <v>7</v>
      </c>
      <c r="E47" s="19" t="s">
        <v>285</v>
      </c>
      <c r="F47" s="19" t="s">
        <v>286</v>
      </c>
      <c r="G47" s="19" t="s">
        <v>287</v>
      </c>
      <c r="H47" s="19" t="s">
        <v>407</v>
      </c>
      <c r="I47" s="19" t="s">
        <v>408</v>
      </c>
    </row>
    <row r="48" customHeight="1" spans="2:9">
      <c r="B48" s="17" t="s">
        <v>409</v>
      </c>
      <c r="C48" s="18" t="s">
        <v>258</v>
      </c>
      <c r="D48" s="19">
        <v>6</v>
      </c>
      <c r="E48" s="19" t="s">
        <v>285</v>
      </c>
      <c r="F48" s="19" t="s">
        <v>286</v>
      </c>
      <c r="G48" s="19" t="s">
        <v>343</v>
      </c>
      <c r="H48" s="19" t="s">
        <v>410</v>
      </c>
      <c r="I48" s="19" t="s">
        <v>411</v>
      </c>
    </row>
    <row r="49" customHeight="1" spans="2:9">
      <c r="B49" s="17" t="s">
        <v>412</v>
      </c>
      <c r="C49" s="18" t="s">
        <v>258</v>
      </c>
      <c r="D49" s="19">
        <v>5</v>
      </c>
      <c r="E49" s="19" t="s">
        <v>291</v>
      </c>
      <c r="F49" s="19" t="s">
        <v>78</v>
      </c>
      <c r="G49" s="19" t="s">
        <v>310</v>
      </c>
      <c r="H49" s="19" t="s">
        <v>413</v>
      </c>
      <c r="I49" s="19" t="s">
        <v>414</v>
      </c>
    </row>
    <row r="50" customHeight="1" spans="2:9">
      <c r="B50" s="17" t="s">
        <v>415</v>
      </c>
      <c r="C50" s="18" t="s">
        <v>258</v>
      </c>
      <c r="D50" s="19">
        <v>6</v>
      </c>
      <c r="E50" s="19" t="s">
        <v>291</v>
      </c>
      <c r="F50" s="19" t="s">
        <v>286</v>
      </c>
      <c r="G50" s="19" t="s">
        <v>287</v>
      </c>
      <c r="H50" s="19" t="s">
        <v>416</v>
      </c>
      <c r="I50" s="19" t="s">
        <v>289</v>
      </c>
    </row>
    <row r="51" customHeight="1" spans="2:9">
      <c r="B51" s="17" t="s">
        <v>417</v>
      </c>
      <c r="C51" s="18" t="s">
        <v>418</v>
      </c>
      <c r="D51" s="19">
        <v>19</v>
      </c>
      <c r="E51" s="19" t="s">
        <v>291</v>
      </c>
      <c r="F51" s="19" t="s">
        <v>286</v>
      </c>
      <c r="G51" s="19" t="s">
        <v>292</v>
      </c>
      <c r="H51" s="19" t="s">
        <v>419</v>
      </c>
      <c r="I51" s="19" t="s">
        <v>420</v>
      </c>
    </row>
    <row r="52" customHeight="1" spans="2:9">
      <c r="B52" s="17" t="s">
        <v>421</v>
      </c>
      <c r="C52" s="18" t="s">
        <v>418</v>
      </c>
      <c r="D52" s="19">
        <v>20</v>
      </c>
      <c r="E52" s="19" t="s">
        <v>291</v>
      </c>
      <c r="F52" s="19" t="s">
        <v>78</v>
      </c>
      <c r="G52" s="19" t="s">
        <v>292</v>
      </c>
      <c r="H52" s="19" t="s">
        <v>422</v>
      </c>
      <c r="I52" s="19" t="s">
        <v>423</v>
      </c>
    </row>
    <row r="53" customHeight="1" spans="2:9">
      <c r="B53" s="17" t="s">
        <v>424</v>
      </c>
      <c r="C53" s="18" t="s">
        <v>418</v>
      </c>
      <c r="D53" s="19">
        <v>10</v>
      </c>
      <c r="E53" s="19" t="s">
        <v>291</v>
      </c>
      <c r="F53" s="19" t="s">
        <v>286</v>
      </c>
      <c r="G53" s="19" t="s">
        <v>287</v>
      </c>
      <c r="H53" s="19" t="s">
        <v>425</v>
      </c>
      <c r="I53" s="19" t="s">
        <v>426</v>
      </c>
    </row>
    <row r="54" customHeight="1" spans="2:9">
      <c r="B54" s="17" t="s">
        <v>427</v>
      </c>
      <c r="C54" s="18" t="s">
        <v>418</v>
      </c>
      <c r="D54" s="19">
        <v>19</v>
      </c>
      <c r="E54" s="19" t="s">
        <v>285</v>
      </c>
      <c r="F54" s="19" t="s">
        <v>286</v>
      </c>
      <c r="G54" s="19" t="s">
        <v>287</v>
      </c>
      <c r="H54" s="19" t="s">
        <v>428</v>
      </c>
      <c r="I54" s="19" t="s">
        <v>289</v>
      </c>
    </row>
    <row r="55" customHeight="1" spans="2:9">
      <c r="B55" s="17" t="s">
        <v>429</v>
      </c>
      <c r="C55" s="18" t="s">
        <v>418</v>
      </c>
      <c r="D55" s="19">
        <v>14</v>
      </c>
      <c r="E55" s="19" t="s">
        <v>291</v>
      </c>
      <c r="F55" s="19" t="s">
        <v>78</v>
      </c>
      <c r="G55" s="19" t="s">
        <v>292</v>
      </c>
      <c r="H55" s="19" t="s">
        <v>430</v>
      </c>
      <c r="I55" s="19" t="s">
        <v>431</v>
      </c>
    </row>
    <row r="56" customHeight="1" spans="2:9">
      <c r="B56" s="17" t="s">
        <v>432</v>
      </c>
      <c r="C56" s="18" t="s">
        <v>418</v>
      </c>
      <c r="D56" s="19">
        <v>15</v>
      </c>
      <c r="E56" s="19" t="s">
        <v>285</v>
      </c>
      <c r="F56" s="19" t="s">
        <v>286</v>
      </c>
      <c r="G56" s="19" t="s">
        <v>287</v>
      </c>
      <c r="H56" s="19" t="s">
        <v>433</v>
      </c>
      <c r="I56" s="19" t="s">
        <v>289</v>
      </c>
    </row>
    <row r="57" customHeight="1" spans="2:9">
      <c r="B57" s="17" t="s">
        <v>434</v>
      </c>
      <c r="C57" s="18" t="s">
        <v>418</v>
      </c>
      <c r="D57" s="19">
        <v>11</v>
      </c>
      <c r="E57" s="19" t="s">
        <v>291</v>
      </c>
      <c r="F57" s="19" t="s">
        <v>78</v>
      </c>
      <c r="G57" s="19" t="s">
        <v>343</v>
      </c>
      <c r="H57" s="19" t="s">
        <v>435</v>
      </c>
      <c r="I57" s="19" t="s">
        <v>436</v>
      </c>
    </row>
    <row r="58" customHeight="1" spans="2:9">
      <c r="B58" s="17" t="s">
        <v>437</v>
      </c>
      <c r="C58" s="18" t="s">
        <v>418</v>
      </c>
      <c r="D58" s="19">
        <v>16</v>
      </c>
      <c r="E58" s="19" t="s">
        <v>291</v>
      </c>
      <c r="F58" s="19" t="s">
        <v>286</v>
      </c>
      <c r="G58" s="19" t="s">
        <v>287</v>
      </c>
      <c r="H58" s="19" t="s">
        <v>438</v>
      </c>
      <c r="I58" s="19" t="s">
        <v>289</v>
      </c>
    </row>
    <row r="59" customHeight="1" spans="2:9">
      <c r="B59" s="17" t="s">
        <v>439</v>
      </c>
      <c r="C59" s="18" t="s">
        <v>418</v>
      </c>
      <c r="D59" s="19">
        <v>13</v>
      </c>
      <c r="E59" s="19" t="s">
        <v>291</v>
      </c>
      <c r="F59" s="19" t="s">
        <v>78</v>
      </c>
      <c r="G59" s="19" t="s">
        <v>292</v>
      </c>
      <c r="H59" s="19" t="s">
        <v>440</v>
      </c>
      <c r="I59" s="19" t="s">
        <v>441</v>
      </c>
    </row>
    <row r="60" customHeight="1" spans="2:9">
      <c r="B60" s="17" t="s">
        <v>442</v>
      </c>
      <c r="C60" s="18" t="s">
        <v>418</v>
      </c>
      <c r="D60" s="19">
        <v>23</v>
      </c>
      <c r="E60" s="19" t="s">
        <v>285</v>
      </c>
      <c r="F60" s="19" t="s">
        <v>286</v>
      </c>
      <c r="G60" s="19" t="s">
        <v>287</v>
      </c>
      <c r="H60" s="19" t="s">
        <v>443</v>
      </c>
      <c r="I60" s="19" t="s">
        <v>289</v>
      </c>
    </row>
    <row r="61" customHeight="1" spans="2:9">
      <c r="B61" s="17" t="s">
        <v>444</v>
      </c>
      <c r="C61" s="18" t="s">
        <v>418</v>
      </c>
      <c r="D61" s="19">
        <v>13</v>
      </c>
      <c r="E61" s="19" t="s">
        <v>285</v>
      </c>
      <c r="F61" s="19" t="s">
        <v>286</v>
      </c>
      <c r="G61" s="19" t="s">
        <v>292</v>
      </c>
      <c r="H61" s="19" t="s">
        <v>445</v>
      </c>
      <c r="I61" s="19" t="s">
        <v>446</v>
      </c>
    </row>
    <row r="62" customHeight="1" spans="2:9">
      <c r="B62" s="17" t="s">
        <v>447</v>
      </c>
      <c r="C62" s="18" t="s">
        <v>418</v>
      </c>
      <c r="D62" s="19">
        <v>20</v>
      </c>
      <c r="E62" s="19" t="s">
        <v>291</v>
      </c>
      <c r="F62" s="19" t="s">
        <v>286</v>
      </c>
      <c r="G62" s="19" t="s">
        <v>310</v>
      </c>
      <c r="H62" s="19" t="s">
        <v>448</v>
      </c>
      <c r="I62" s="19" t="s">
        <v>289</v>
      </c>
    </row>
    <row r="63" customHeight="1" spans="2:9">
      <c r="B63" s="17" t="s">
        <v>449</v>
      </c>
      <c r="C63" s="18" t="s">
        <v>418</v>
      </c>
      <c r="D63" s="19">
        <v>18</v>
      </c>
      <c r="E63" s="19" t="s">
        <v>291</v>
      </c>
      <c r="F63" s="19" t="s">
        <v>286</v>
      </c>
      <c r="G63" s="19" t="s">
        <v>287</v>
      </c>
      <c r="H63" s="19" t="s">
        <v>450</v>
      </c>
      <c r="I63" s="19" t="s">
        <v>451</v>
      </c>
    </row>
    <row r="64" customHeight="1" spans="2:9">
      <c r="B64" s="17" t="s">
        <v>452</v>
      </c>
      <c r="C64" s="18" t="s">
        <v>453</v>
      </c>
      <c r="D64" s="19">
        <v>16</v>
      </c>
      <c r="E64" s="19" t="s">
        <v>285</v>
      </c>
      <c r="F64" s="19" t="s">
        <v>286</v>
      </c>
      <c r="G64" s="19" t="s">
        <v>287</v>
      </c>
      <c r="H64" s="19" t="s">
        <v>454</v>
      </c>
      <c r="I64" s="19" t="s">
        <v>455</v>
      </c>
    </row>
    <row r="65" customHeight="1" spans="2:9">
      <c r="B65" s="17" t="s">
        <v>456</v>
      </c>
      <c r="C65" s="18" t="s">
        <v>453</v>
      </c>
      <c r="D65" s="19">
        <v>15</v>
      </c>
      <c r="E65" s="19" t="s">
        <v>349</v>
      </c>
      <c r="F65" s="19" t="s">
        <v>78</v>
      </c>
      <c r="G65" s="19" t="s">
        <v>287</v>
      </c>
      <c r="H65" s="19" t="s">
        <v>457</v>
      </c>
      <c r="I65" s="19" t="s">
        <v>289</v>
      </c>
    </row>
    <row r="66" customHeight="1" spans="2:9">
      <c r="B66" s="17" t="s">
        <v>458</v>
      </c>
      <c r="C66" s="18" t="s">
        <v>453</v>
      </c>
      <c r="D66" s="19">
        <v>17</v>
      </c>
      <c r="E66" s="19" t="s">
        <v>285</v>
      </c>
      <c r="F66" s="19" t="s">
        <v>286</v>
      </c>
      <c r="G66" s="19" t="s">
        <v>459</v>
      </c>
      <c r="H66" s="20" t="s">
        <v>460</v>
      </c>
      <c r="I66" s="19" t="s">
        <v>461</v>
      </c>
    </row>
    <row r="67" customHeight="1" spans="2:9">
      <c r="B67" s="17" t="s">
        <v>462</v>
      </c>
      <c r="C67" s="18" t="s">
        <v>453</v>
      </c>
      <c r="D67" s="19">
        <v>14</v>
      </c>
      <c r="E67" s="19" t="s">
        <v>285</v>
      </c>
      <c r="F67" s="19" t="s">
        <v>78</v>
      </c>
      <c r="G67" s="19" t="s">
        <v>343</v>
      </c>
      <c r="H67" s="19" t="s">
        <v>463</v>
      </c>
      <c r="I67" s="19" t="s">
        <v>289</v>
      </c>
    </row>
    <row r="68" customHeight="1" spans="2:9">
      <c r="B68" s="17" t="s">
        <v>464</v>
      </c>
      <c r="C68" s="18" t="s">
        <v>453</v>
      </c>
      <c r="D68" s="19">
        <v>23</v>
      </c>
      <c r="E68" s="19" t="s">
        <v>285</v>
      </c>
      <c r="F68" s="19" t="s">
        <v>286</v>
      </c>
      <c r="G68" s="19" t="s">
        <v>287</v>
      </c>
      <c r="H68" s="20" t="s">
        <v>465</v>
      </c>
      <c r="I68" s="19" t="s">
        <v>289</v>
      </c>
    </row>
    <row r="69" customHeight="1" spans="2:9">
      <c r="B69" s="17" t="s">
        <v>466</v>
      </c>
      <c r="C69" s="18" t="s">
        <v>453</v>
      </c>
      <c r="D69" s="19">
        <v>11</v>
      </c>
      <c r="E69" s="19" t="s">
        <v>285</v>
      </c>
      <c r="F69" s="19" t="s">
        <v>286</v>
      </c>
      <c r="G69" s="19" t="s">
        <v>287</v>
      </c>
      <c r="H69" s="19" t="s">
        <v>467</v>
      </c>
      <c r="I69" s="19" t="s">
        <v>289</v>
      </c>
    </row>
    <row r="70" customHeight="1" spans="2:9">
      <c r="B70" s="17" t="s">
        <v>468</v>
      </c>
      <c r="C70" s="18" t="s">
        <v>453</v>
      </c>
      <c r="D70" s="19">
        <v>18</v>
      </c>
      <c r="E70" s="19" t="s">
        <v>291</v>
      </c>
      <c r="F70" s="19" t="s">
        <v>78</v>
      </c>
      <c r="G70" s="19" t="s">
        <v>287</v>
      </c>
      <c r="H70" s="19" t="s">
        <v>469</v>
      </c>
      <c r="I70" s="19" t="s">
        <v>289</v>
      </c>
    </row>
    <row r="71" customHeight="1" spans="2:9">
      <c r="B71" s="17" t="s">
        <v>470</v>
      </c>
      <c r="C71" s="18" t="s">
        <v>453</v>
      </c>
      <c r="D71" s="19">
        <v>17</v>
      </c>
      <c r="E71" s="19" t="s">
        <v>349</v>
      </c>
      <c r="F71" s="19" t="s">
        <v>78</v>
      </c>
      <c r="G71" s="19" t="s">
        <v>287</v>
      </c>
      <c r="H71" s="19" t="s">
        <v>471</v>
      </c>
      <c r="I71" s="19" t="s">
        <v>289</v>
      </c>
    </row>
    <row r="72" customHeight="1" spans="2:9">
      <c r="B72" s="17" t="s">
        <v>472</v>
      </c>
      <c r="C72" s="18" t="s">
        <v>453</v>
      </c>
      <c r="D72" s="19">
        <v>9</v>
      </c>
      <c r="E72" s="19" t="s">
        <v>291</v>
      </c>
      <c r="F72" s="19" t="s">
        <v>286</v>
      </c>
      <c r="G72" s="19" t="s">
        <v>287</v>
      </c>
      <c r="H72" s="19" t="s">
        <v>473</v>
      </c>
      <c r="I72" s="19" t="s">
        <v>474</v>
      </c>
    </row>
    <row r="73" customHeight="1" spans="2:9">
      <c r="B73" s="17" t="s">
        <v>475</v>
      </c>
      <c r="C73" s="18" t="s">
        <v>453</v>
      </c>
      <c r="D73" s="19">
        <v>11</v>
      </c>
      <c r="E73" s="19" t="s">
        <v>349</v>
      </c>
      <c r="F73" s="19" t="s">
        <v>78</v>
      </c>
      <c r="G73" s="19" t="s">
        <v>287</v>
      </c>
      <c r="H73" s="19" t="s">
        <v>476</v>
      </c>
      <c r="I73" s="19" t="s">
        <v>289</v>
      </c>
    </row>
    <row r="74" customHeight="1" spans="2:9">
      <c r="B74" s="17" t="s">
        <v>477</v>
      </c>
      <c r="C74" s="18" t="s">
        <v>478</v>
      </c>
      <c r="D74" s="19">
        <v>23</v>
      </c>
      <c r="E74" s="19" t="s">
        <v>285</v>
      </c>
      <c r="F74" s="19" t="s">
        <v>286</v>
      </c>
      <c r="G74" s="19" t="s">
        <v>385</v>
      </c>
      <c r="H74" s="19" t="s">
        <v>479</v>
      </c>
      <c r="I74" s="19" t="s">
        <v>289</v>
      </c>
    </row>
    <row r="75" customHeight="1" spans="2:9">
      <c r="B75" s="17" t="s">
        <v>480</v>
      </c>
      <c r="C75" s="18" t="s">
        <v>478</v>
      </c>
      <c r="D75" s="19">
        <v>19</v>
      </c>
      <c r="E75" s="19" t="s">
        <v>285</v>
      </c>
      <c r="F75" s="19" t="s">
        <v>286</v>
      </c>
      <c r="G75" s="19" t="s">
        <v>292</v>
      </c>
      <c r="H75" s="19" t="s">
        <v>481</v>
      </c>
      <c r="I75" s="19" t="s">
        <v>289</v>
      </c>
    </row>
    <row r="76" customHeight="1" spans="2:9">
      <c r="B76" s="17" t="s">
        <v>482</v>
      </c>
      <c r="C76" s="18" t="s">
        <v>478</v>
      </c>
      <c r="D76" s="19">
        <v>16</v>
      </c>
      <c r="E76" s="19" t="s">
        <v>291</v>
      </c>
      <c r="F76" s="19" t="s">
        <v>78</v>
      </c>
      <c r="G76" s="19" t="s">
        <v>296</v>
      </c>
      <c r="H76" s="19" t="s">
        <v>483</v>
      </c>
      <c r="I76" s="19" t="s">
        <v>484</v>
      </c>
    </row>
    <row r="77" customHeight="1" spans="2:9">
      <c r="B77" s="17" t="s">
        <v>485</v>
      </c>
      <c r="C77" s="18" t="s">
        <v>478</v>
      </c>
      <c r="D77" s="19">
        <v>11</v>
      </c>
      <c r="E77" s="19" t="s">
        <v>291</v>
      </c>
      <c r="F77" s="19" t="s">
        <v>78</v>
      </c>
      <c r="G77" s="19" t="s">
        <v>366</v>
      </c>
      <c r="H77" s="19" t="s">
        <v>486</v>
      </c>
      <c r="I77" s="19" t="s">
        <v>487</v>
      </c>
    </row>
    <row r="78" customHeight="1" spans="2:9">
      <c r="B78" s="17" t="s">
        <v>488</v>
      </c>
      <c r="C78" s="18" t="s">
        <v>478</v>
      </c>
      <c r="D78" s="19">
        <v>13</v>
      </c>
      <c r="E78" s="19" t="s">
        <v>291</v>
      </c>
      <c r="F78" s="19" t="s">
        <v>286</v>
      </c>
      <c r="G78" s="19" t="s">
        <v>489</v>
      </c>
      <c r="H78" s="19" t="s">
        <v>490</v>
      </c>
      <c r="I78" s="19" t="s">
        <v>491</v>
      </c>
    </row>
    <row r="79" customHeight="1" spans="2:9">
      <c r="B79" s="17" t="s">
        <v>492</v>
      </c>
      <c r="C79" s="18" t="s">
        <v>478</v>
      </c>
      <c r="D79" s="19">
        <v>17</v>
      </c>
      <c r="E79" s="19" t="s">
        <v>285</v>
      </c>
      <c r="F79" s="19" t="s">
        <v>286</v>
      </c>
      <c r="G79" s="19" t="s">
        <v>493</v>
      </c>
      <c r="H79" s="19" t="s">
        <v>494</v>
      </c>
      <c r="I79" s="19" t="s">
        <v>289</v>
      </c>
    </row>
    <row r="80" customHeight="1" spans="2:9">
      <c r="B80" s="17" t="s">
        <v>495</v>
      </c>
      <c r="C80" s="18" t="s">
        <v>478</v>
      </c>
      <c r="D80" s="19">
        <v>10</v>
      </c>
      <c r="E80" s="19" t="s">
        <v>291</v>
      </c>
      <c r="F80" s="19" t="s">
        <v>286</v>
      </c>
      <c r="G80" s="19" t="s">
        <v>287</v>
      </c>
      <c r="H80" s="19" t="s">
        <v>496</v>
      </c>
      <c r="I80" s="19" t="s">
        <v>289</v>
      </c>
    </row>
    <row r="81" customHeight="1" spans="2:9">
      <c r="B81" s="17" t="s">
        <v>497</v>
      </c>
      <c r="C81" s="18" t="s">
        <v>478</v>
      </c>
      <c r="D81" s="19">
        <v>16</v>
      </c>
      <c r="E81" s="19" t="s">
        <v>291</v>
      </c>
      <c r="F81" s="19" t="s">
        <v>286</v>
      </c>
      <c r="G81" s="19" t="s">
        <v>489</v>
      </c>
      <c r="H81" s="19" t="s">
        <v>498</v>
      </c>
      <c r="I81" s="19" t="s">
        <v>499</v>
      </c>
    </row>
    <row r="82" customHeight="1" spans="2:9">
      <c r="B82" s="17" t="s">
        <v>500</v>
      </c>
      <c r="C82" s="18" t="s">
        <v>478</v>
      </c>
      <c r="D82" s="19">
        <v>8</v>
      </c>
      <c r="E82" s="19" t="s">
        <v>291</v>
      </c>
      <c r="F82" s="19" t="s">
        <v>286</v>
      </c>
      <c r="G82" s="19" t="s">
        <v>287</v>
      </c>
      <c r="H82" s="19" t="s">
        <v>501</v>
      </c>
      <c r="I82" s="19" t="s">
        <v>289</v>
      </c>
    </row>
    <row r="83" customHeight="1" spans="2:9">
      <c r="B83" s="17" t="s">
        <v>502</v>
      </c>
      <c r="C83" s="18" t="s">
        <v>478</v>
      </c>
      <c r="D83" s="19">
        <v>11</v>
      </c>
      <c r="E83" s="19" t="s">
        <v>291</v>
      </c>
      <c r="F83" s="19" t="s">
        <v>78</v>
      </c>
      <c r="G83" s="19" t="s">
        <v>503</v>
      </c>
      <c r="H83" s="19" t="s">
        <v>504</v>
      </c>
      <c r="I83" s="19" t="s">
        <v>505</v>
      </c>
    </row>
    <row r="84" customHeight="1" spans="2:9">
      <c r="B84" s="17" t="s">
        <v>506</v>
      </c>
      <c r="C84" s="18" t="s">
        <v>478</v>
      </c>
      <c r="D84" s="19">
        <v>27</v>
      </c>
      <c r="E84" s="19" t="s">
        <v>285</v>
      </c>
      <c r="F84" s="19" t="s">
        <v>286</v>
      </c>
      <c r="G84" s="19" t="s">
        <v>287</v>
      </c>
      <c r="H84" s="19" t="s">
        <v>507</v>
      </c>
      <c r="I84" s="19" t="s">
        <v>289</v>
      </c>
    </row>
    <row r="85" customHeight="1" spans="2:9">
      <c r="B85" s="17" t="s">
        <v>508</v>
      </c>
      <c r="C85" s="18" t="s">
        <v>509</v>
      </c>
      <c r="D85" s="19">
        <v>17</v>
      </c>
      <c r="E85" s="19" t="s">
        <v>291</v>
      </c>
      <c r="F85" s="19" t="s">
        <v>286</v>
      </c>
      <c r="G85" s="19" t="s">
        <v>287</v>
      </c>
      <c r="H85" s="19" t="s">
        <v>510</v>
      </c>
      <c r="I85" s="19" t="s">
        <v>511</v>
      </c>
    </row>
    <row r="86" customHeight="1" spans="2:9">
      <c r="B86" s="17" t="s">
        <v>512</v>
      </c>
      <c r="C86" s="18" t="s">
        <v>509</v>
      </c>
      <c r="D86" s="19">
        <v>16</v>
      </c>
      <c r="E86" s="19" t="s">
        <v>316</v>
      </c>
      <c r="F86" s="19" t="s">
        <v>78</v>
      </c>
      <c r="G86" s="19" t="s">
        <v>513</v>
      </c>
      <c r="H86" s="19" t="s">
        <v>514</v>
      </c>
      <c r="I86" s="19" t="s">
        <v>289</v>
      </c>
    </row>
    <row r="87" customHeight="1" spans="2:9">
      <c r="B87" s="17" t="s">
        <v>515</v>
      </c>
      <c r="C87" s="18" t="s">
        <v>509</v>
      </c>
      <c r="D87" s="19">
        <v>23</v>
      </c>
      <c r="E87" s="19" t="s">
        <v>291</v>
      </c>
      <c r="F87" s="19" t="s">
        <v>286</v>
      </c>
      <c r="G87" s="19" t="s">
        <v>292</v>
      </c>
      <c r="H87" s="19" t="s">
        <v>516</v>
      </c>
      <c r="I87" s="19" t="s">
        <v>289</v>
      </c>
    </row>
    <row r="88" customHeight="1" spans="2:9">
      <c r="B88" s="17" t="s">
        <v>517</v>
      </c>
      <c r="C88" s="18" t="s">
        <v>509</v>
      </c>
      <c r="D88" s="19">
        <v>21</v>
      </c>
      <c r="E88" s="19" t="s">
        <v>285</v>
      </c>
      <c r="F88" s="19" t="s">
        <v>78</v>
      </c>
      <c r="G88" s="19" t="s">
        <v>518</v>
      </c>
      <c r="H88" s="19" t="s">
        <v>519</v>
      </c>
      <c r="I88" s="19" t="s">
        <v>520</v>
      </c>
    </row>
    <row r="89" customHeight="1" spans="2:9">
      <c r="B89" s="17" t="s">
        <v>521</v>
      </c>
      <c r="C89" s="18" t="s">
        <v>509</v>
      </c>
      <c r="D89" s="19">
        <v>13</v>
      </c>
      <c r="E89" s="19" t="s">
        <v>291</v>
      </c>
      <c r="F89" s="19" t="s">
        <v>78</v>
      </c>
      <c r="G89" s="19" t="s">
        <v>518</v>
      </c>
      <c r="H89" s="19" t="s">
        <v>522</v>
      </c>
      <c r="I89" s="19" t="s">
        <v>523</v>
      </c>
    </row>
    <row r="90" customHeight="1" spans="2:9">
      <c r="B90" s="17" t="s">
        <v>524</v>
      </c>
      <c r="C90" s="18" t="s">
        <v>509</v>
      </c>
      <c r="D90" s="19">
        <v>17</v>
      </c>
      <c r="E90" s="19" t="s">
        <v>291</v>
      </c>
      <c r="F90" s="19" t="s">
        <v>78</v>
      </c>
      <c r="G90" s="19" t="s">
        <v>292</v>
      </c>
      <c r="H90" s="19" t="s">
        <v>525</v>
      </c>
      <c r="I90" s="19" t="s">
        <v>308</v>
      </c>
    </row>
    <row r="91" customHeight="1" spans="2:9">
      <c r="B91" s="17" t="s">
        <v>526</v>
      </c>
      <c r="C91" s="18" t="s">
        <v>509</v>
      </c>
      <c r="D91" s="19">
        <v>19</v>
      </c>
      <c r="E91" s="19" t="s">
        <v>291</v>
      </c>
      <c r="F91" s="19" t="s">
        <v>286</v>
      </c>
      <c r="G91" s="19" t="s">
        <v>287</v>
      </c>
      <c r="H91" s="20" t="s">
        <v>527</v>
      </c>
      <c r="I91" s="19" t="s">
        <v>289</v>
      </c>
    </row>
    <row r="92" customHeight="1" spans="2:9">
      <c r="B92" s="17" t="s">
        <v>528</v>
      </c>
      <c r="C92" s="18" t="s">
        <v>509</v>
      </c>
      <c r="D92" s="19">
        <v>11</v>
      </c>
      <c r="E92" s="19" t="s">
        <v>291</v>
      </c>
      <c r="F92" s="19" t="s">
        <v>286</v>
      </c>
      <c r="G92" s="19" t="s">
        <v>292</v>
      </c>
      <c r="H92" s="19" t="s">
        <v>529</v>
      </c>
      <c r="I92" s="19" t="s">
        <v>289</v>
      </c>
    </row>
    <row r="93" customHeight="1" spans="2:9">
      <c r="B93" s="17" t="s">
        <v>530</v>
      </c>
      <c r="C93" s="18" t="s">
        <v>509</v>
      </c>
      <c r="D93" s="19">
        <v>14</v>
      </c>
      <c r="E93" s="19" t="s">
        <v>291</v>
      </c>
      <c r="F93" s="19" t="s">
        <v>78</v>
      </c>
      <c r="G93" s="19" t="s">
        <v>292</v>
      </c>
      <c r="H93" s="19" t="s">
        <v>531</v>
      </c>
      <c r="I93" s="19" t="s">
        <v>532</v>
      </c>
    </row>
    <row r="94" customHeight="1" spans="2:9">
      <c r="B94" s="17" t="s">
        <v>533</v>
      </c>
      <c r="C94" s="18" t="s">
        <v>509</v>
      </c>
      <c r="D94" s="19">
        <v>13</v>
      </c>
      <c r="E94" s="19" t="s">
        <v>291</v>
      </c>
      <c r="F94" s="19" t="s">
        <v>78</v>
      </c>
      <c r="G94" s="19" t="s">
        <v>292</v>
      </c>
      <c r="H94" s="19" t="s">
        <v>534</v>
      </c>
      <c r="I94" s="19" t="s">
        <v>308</v>
      </c>
    </row>
    <row r="95" customHeight="1" spans="2:9">
      <c r="B95" s="17" t="s">
        <v>535</v>
      </c>
      <c r="C95" s="18" t="s">
        <v>509</v>
      </c>
      <c r="D95" s="19">
        <v>12</v>
      </c>
      <c r="E95" s="19" t="s">
        <v>291</v>
      </c>
      <c r="F95" s="19" t="s">
        <v>286</v>
      </c>
      <c r="G95" s="19" t="s">
        <v>536</v>
      </c>
      <c r="H95" s="19" t="s">
        <v>537</v>
      </c>
      <c r="I95" s="19" t="s">
        <v>538</v>
      </c>
    </row>
    <row r="96" customHeight="1" spans="2:9">
      <c r="B96" s="17" t="s">
        <v>539</v>
      </c>
      <c r="C96" s="18" t="s">
        <v>540</v>
      </c>
      <c r="D96" s="19">
        <v>9</v>
      </c>
      <c r="E96" s="19" t="s">
        <v>291</v>
      </c>
      <c r="F96" s="19" t="s">
        <v>286</v>
      </c>
      <c r="G96" s="19" t="s">
        <v>385</v>
      </c>
      <c r="H96" s="19" t="s">
        <v>541</v>
      </c>
      <c r="I96" s="19" t="s">
        <v>289</v>
      </c>
    </row>
    <row r="97" customHeight="1" spans="2:9">
      <c r="B97" s="17" t="s">
        <v>542</v>
      </c>
      <c r="C97" s="18" t="s">
        <v>540</v>
      </c>
      <c r="D97" s="19">
        <v>13</v>
      </c>
      <c r="E97" s="19" t="s">
        <v>291</v>
      </c>
      <c r="F97" s="19" t="s">
        <v>78</v>
      </c>
      <c r="G97" s="19" t="s">
        <v>543</v>
      </c>
      <c r="H97" s="19" t="s">
        <v>544</v>
      </c>
      <c r="I97" s="19" t="s">
        <v>545</v>
      </c>
    </row>
    <row r="98" customHeight="1" spans="2:9">
      <c r="B98" s="17" t="s">
        <v>546</v>
      </c>
      <c r="C98" s="18" t="s">
        <v>540</v>
      </c>
      <c r="D98" s="19">
        <v>17</v>
      </c>
      <c r="E98" s="19" t="s">
        <v>291</v>
      </c>
      <c r="F98" s="19" t="s">
        <v>78</v>
      </c>
      <c r="G98" s="19" t="s">
        <v>543</v>
      </c>
      <c r="H98" s="19" t="s">
        <v>547</v>
      </c>
      <c r="I98" s="19" t="s">
        <v>548</v>
      </c>
    </row>
    <row r="99" customHeight="1" spans="2:9">
      <c r="B99" s="17" t="s">
        <v>549</v>
      </c>
      <c r="C99" s="18" t="s">
        <v>540</v>
      </c>
      <c r="D99" s="19">
        <v>13</v>
      </c>
      <c r="E99" s="19" t="s">
        <v>291</v>
      </c>
      <c r="F99" s="19" t="s">
        <v>286</v>
      </c>
      <c r="G99" s="19" t="s">
        <v>543</v>
      </c>
      <c r="H99" s="19" t="s">
        <v>550</v>
      </c>
      <c r="I99" s="19" t="s">
        <v>289</v>
      </c>
    </row>
    <row r="100" customHeight="1" spans="2:9">
      <c r="B100" s="17" t="s">
        <v>551</v>
      </c>
      <c r="C100" s="18" t="s">
        <v>540</v>
      </c>
      <c r="D100" s="19">
        <v>23</v>
      </c>
      <c r="E100" s="19" t="s">
        <v>552</v>
      </c>
      <c r="F100" s="19" t="s">
        <v>78</v>
      </c>
      <c r="G100" s="19" t="s">
        <v>343</v>
      </c>
      <c r="H100" s="20" t="s">
        <v>553</v>
      </c>
      <c r="I100" s="19" t="s">
        <v>289</v>
      </c>
    </row>
    <row r="101" customHeight="1" spans="2:9">
      <c r="B101" s="17" t="s">
        <v>554</v>
      </c>
      <c r="C101" s="18" t="s">
        <v>540</v>
      </c>
      <c r="D101" s="19">
        <v>14</v>
      </c>
      <c r="E101" s="19" t="s">
        <v>291</v>
      </c>
      <c r="F101" s="19" t="s">
        <v>286</v>
      </c>
      <c r="G101" s="19" t="s">
        <v>310</v>
      </c>
      <c r="H101" s="20" t="s">
        <v>555</v>
      </c>
      <c r="I101" s="19" t="s">
        <v>556</v>
      </c>
    </row>
    <row r="102" customHeight="1" spans="2:9">
      <c r="B102" s="17" t="s">
        <v>557</v>
      </c>
      <c r="C102" s="18" t="s">
        <v>540</v>
      </c>
      <c r="D102" s="19">
        <v>11</v>
      </c>
      <c r="E102" s="19" t="s">
        <v>349</v>
      </c>
      <c r="F102" s="19" t="s">
        <v>286</v>
      </c>
      <c r="G102" s="19" t="s">
        <v>459</v>
      </c>
      <c r="H102" s="19" t="s">
        <v>558</v>
      </c>
      <c r="I102" s="19" t="s">
        <v>289</v>
      </c>
    </row>
    <row r="103" customHeight="1" spans="2:9">
      <c r="B103" s="17" t="s">
        <v>559</v>
      </c>
      <c r="C103" s="18" t="s">
        <v>540</v>
      </c>
      <c r="D103" s="19">
        <v>18</v>
      </c>
      <c r="E103" s="19" t="s">
        <v>291</v>
      </c>
      <c r="F103" s="19" t="s">
        <v>78</v>
      </c>
      <c r="G103" s="19" t="s">
        <v>292</v>
      </c>
      <c r="H103" s="19" t="s">
        <v>560</v>
      </c>
      <c r="I103" s="19" t="s">
        <v>561</v>
      </c>
    </row>
    <row r="104" customHeight="1" spans="2:9">
      <c r="B104" s="17" t="s">
        <v>562</v>
      </c>
      <c r="C104" s="18" t="s">
        <v>540</v>
      </c>
      <c r="D104" s="19">
        <v>21</v>
      </c>
      <c r="E104" s="19" t="s">
        <v>285</v>
      </c>
      <c r="F104" s="19" t="s">
        <v>286</v>
      </c>
      <c r="G104" s="19" t="s">
        <v>287</v>
      </c>
      <c r="H104" s="19" t="s">
        <v>563</v>
      </c>
      <c r="I104" s="19" t="s">
        <v>289</v>
      </c>
    </row>
    <row r="105" customHeight="1" spans="2:9">
      <c r="B105" s="17" t="s">
        <v>564</v>
      </c>
      <c r="C105" s="18" t="s">
        <v>540</v>
      </c>
      <c r="D105" s="19">
        <v>24</v>
      </c>
      <c r="E105" s="19" t="s">
        <v>291</v>
      </c>
      <c r="F105" s="19" t="s">
        <v>286</v>
      </c>
      <c r="G105" s="19" t="s">
        <v>543</v>
      </c>
      <c r="H105" s="19" t="s">
        <v>565</v>
      </c>
      <c r="I105" s="19" t="s">
        <v>548</v>
      </c>
    </row>
    <row r="106" customHeight="1" spans="2:9">
      <c r="B106" s="17" t="s">
        <v>566</v>
      </c>
      <c r="C106" s="18" t="s">
        <v>540</v>
      </c>
      <c r="D106" s="19">
        <v>26</v>
      </c>
      <c r="E106" s="19" t="s">
        <v>552</v>
      </c>
      <c r="F106" s="19" t="s">
        <v>78</v>
      </c>
      <c r="G106" s="19" t="s">
        <v>343</v>
      </c>
      <c r="H106" s="19" t="s">
        <v>567</v>
      </c>
      <c r="I106" s="19" t="s">
        <v>568</v>
      </c>
    </row>
    <row r="107" customHeight="1" spans="2:9">
      <c r="B107" s="17" t="s">
        <v>569</v>
      </c>
      <c r="C107" s="18" t="s">
        <v>540</v>
      </c>
      <c r="D107" s="19">
        <v>19</v>
      </c>
      <c r="E107" s="19" t="s">
        <v>291</v>
      </c>
      <c r="F107" s="19" t="s">
        <v>78</v>
      </c>
      <c r="G107" s="19" t="s">
        <v>570</v>
      </c>
      <c r="H107" s="19" t="s">
        <v>571</v>
      </c>
      <c r="I107" s="19" t="s">
        <v>568</v>
      </c>
    </row>
    <row r="108" customHeight="1" spans="2:9">
      <c r="B108" s="17" t="s">
        <v>572</v>
      </c>
      <c r="C108" s="18" t="s">
        <v>259</v>
      </c>
      <c r="D108" s="19">
        <v>13</v>
      </c>
      <c r="E108" s="19" t="s">
        <v>285</v>
      </c>
      <c r="F108" s="19" t="s">
        <v>573</v>
      </c>
      <c r="G108" s="19" t="s">
        <v>287</v>
      </c>
      <c r="H108" s="20" t="s">
        <v>574</v>
      </c>
      <c r="I108" s="19" t="s">
        <v>575</v>
      </c>
    </row>
    <row r="109" customHeight="1" spans="2:9">
      <c r="B109" s="17" t="s">
        <v>576</v>
      </c>
      <c r="C109" s="18" t="s">
        <v>259</v>
      </c>
      <c r="D109" s="19">
        <v>15</v>
      </c>
      <c r="E109" s="19" t="s">
        <v>291</v>
      </c>
      <c r="F109" s="19" t="s">
        <v>78</v>
      </c>
      <c r="G109" s="19" t="s">
        <v>287</v>
      </c>
      <c r="H109" s="20" t="s">
        <v>577</v>
      </c>
      <c r="I109" s="19" t="s">
        <v>578</v>
      </c>
    </row>
    <row r="110" customHeight="1" spans="2:9">
      <c r="B110" s="17" t="s">
        <v>579</v>
      </c>
      <c r="C110" s="18" t="s">
        <v>259</v>
      </c>
      <c r="D110" s="19">
        <v>11</v>
      </c>
      <c r="E110" s="19" t="s">
        <v>291</v>
      </c>
      <c r="F110" s="19" t="s">
        <v>286</v>
      </c>
      <c r="G110" s="19" t="s">
        <v>580</v>
      </c>
      <c r="H110" s="20" t="s">
        <v>581</v>
      </c>
      <c r="I110" s="20" t="s">
        <v>582</v>
      </c>
    </row>
    <row r="111" customHeight="1" spans="2:9">
      <c r="B111" s="17" t="s">
        <v>583</v>
      </c>
      <c r="C111" s="18" t="s">
        <v>259</v>
      </c>
      <c r="D111" s="19">
        <v>13</v>
      </c>
      <c r="E111" s="19" t="s">
        <v>291</v>
      </c>
      <c r="F111" s="19" t="s">
        <v>286</v>
      </c>
      <c r="G111" s="19" t="s">
        <v>584</v>
      </c>
      <c r="H111" s="20" t="s">
        <v>585</v>
      </c>
      <c r="I111" s="19" t="s">
        <v>586</v>
      </c>
    </row>
    <row r="112" customHeight="1" spans="2:9">
      <c r="B112" s="17" t="s">
        <v>587</v>
      </c>
      <c r="C112" s="18" t="s">
        <v>588</v>
      </c>
      <c r="D112" s="19">
        <v>23</v>
      </c>
      <c r="E112" s="19" t="s">
        <v>285</v>
      </c>
      <c r="F112" s="19" t="s">
        <v>78</v>
      </c>
      <c r="G112" s="19" t="s">
        <v>296</v>
      </c>
      <c r="H112" s="20" t="s">
        <v>589</v>
      </c>
      <c r="I112" s="20" t="s">
        <v>590</v>
      </c>
    </row>
    <row r="113" customHeight="1" spans="2:9">
      <c r="B113" s="17" t="s">
        <v>591</v>
      </c>
      <c r="C113" s="18" t="s">
        <v>588</v>
      </c>
      <c r="D113" s="19" t="s">
        <v>573</v>
      </c>
      <c r="E113" s="19" t="s">
        <v>285</v>
      </c>
      <c r="F113" s="19" t="s">
        <v>78</v>
      </c>
      <c r="G113" s="19" t="s">
        <v>592</v>
      </c>
      <c r="H113" s="20" t="s">
        <v>593</v>
      </c>
      <c r="I113" s="19" t="s">
        <v>594</v>
      </c>
    </row>
    <row r="114" customHeight="1" spans="2:9">
      <c r="B114" s="17" t="s">
        <v>595</v>
      </c>
      <c r="C114" s="18" t="s">
        <v>588</v>
      </c>
      <c r="D114" s="19">
        <v>22</v>
      </c>
      <c r="E114" s="19" t="s">
        <v>291</v>
      </c>
      <c r="F114" s="19" t="s">
        <v>78</v>
      </c>
      <c r="G114" s="19" t="s">
        <v>596</v>
      </c>
      <c r="H114" s="19" t="s">
        <v>597</v>
      </c>
      <c r="I114" s="19" t="s">
        <v>598</v>
      </c>
    </row>
    <row r="115" customHeight="1" spans="2:9">
      <c r="B115" s="17" t="s">
        <v>599</v>
      </c>
      <c r="C115" s="18" t="s">
        <v>588</v>
      </c>
      <c r="D115" s="19">
        <v>25</v>
      </c>
      <c r="E115" s="19" t="s">
        <v>285</v>
      </c>
      <c r="F115" s="19" t="s">
        <v>286</v>
      </c>
      <c r="G115" s="19" t="s">
        <v>584</v>
      </c>
      <c r="H115" s="20" t="s">
        <v>600</v>
      </c>
      <c r="I115" s="19" t="s">
        <v>601</v>
      </c>
    </row>
    <row r="116" customHeight="1" spans="2:9">
      <c r="B116" s="17" t="s">
        <v>602</v>
      </c>
      <c r="C116" s="18" t="s">
        <v>588</v>
      </c>
      <c r="D116" s="19">
        <v>18</v>
      </c>
      <c r="E116" s="19" t="s">
        <v>285</v>
      </c>
      <c r="F116" s="19" t="s">
        <v>286</v>
      </c>
      <c r="G116" s="19" t="s">
        <v>603</v>
      </c>
      <c r="H116" s="20" t="s">
        <v>604</v>
      </c>
      <c r="I116" s="19" t="s">
        <v>605</v>
      </c>
    </row>
    <row r="117" customHeight="1" spans="2:9">
      <c r="B117" s="17" t="s">
        <v>606</v>
      </c>
      <c r="C117" s="18" t="s">
        <v>588</v>
      </c>
      <c r="D117" s="19">
        <v>20</v>
      </c>
      <c r="E117" s="19" t="s">
        <v>285</v>
      </c>
      <c r="F117" s="19" t="s">
        <v>286</v>
      </c>
      <c r="G117" s="19" t="s">
        <v>287</v>
      </c>
      <c r="H117" s="20" t="s">
        <v>607</v>
      </c>
      <c r="I117" s="19" t="s">
        <v>608</v>
      </c>
    </row>
    <row r="118" customHeight="1" spans="2:9">
      <c r="B118" s="17" t="s">
        <v>609</v>
      </c>
      <c r="C118" s="18" t="s">
        <v>588</v>
      </c>
      <c r="D118" s="19">
        <v>28</v>
      </c>
      <c r="E118" s="19" t="s">
        <v>285</v>
      </c>
      <c r="F118" s="19" t="s">
        <v>78</v>
      </c>
      <c r="G118" s="19" t="s">
        <v>610</v>
      </c>
      <c r="H118" s="20" t="s">
        <v>611</v>
      </c>
      <c r="I118" s="19" t="s">
        <v>289</v>
      </c>
    </row>
    <row r="119" customHeight="1" spans="2:9">
      <c r="B119" s="17" t="s">
        <v>612</v>
      </c>
      <c r="C119" s="18" t="s">
        <v>588</v>
      </c>
      <c r="D119" s="19">
        <v>20</v>
      </c>
      <c r="E119" s="19" t="s">
        <v>291</v>
      </c>
      <c r="F119" s="19" t="s">
        <v>78</v>
      </c>
      <c r="G119" s="19" t="s">
        <v>610</v>
      </c>
      <c r="H119" s="20" t="s">
        <v>613</v>
      </c>
      <c r="I119" s="19" t="s">
        <v>289</v>
      </c>
    </row>
    <row r="120" customHeight="1" spans="2:9">
      <c r="B120" s="17" t="s">
        <v>614</v>
      </c>
      <c r="C120" s="18" t="s">
        <v>588</v>
      </c>
      <c r="D120" s="19">
        <v>18</v>
      </c>
      <c r="E120" s="19" t="s">
        <v>291</v>
      </c>
      <c r="F120" s="19" t="s">
        <v>78</v>
      </c>
      <c r="G120" s="19" t="s">
        <v>292</v>
      </c>
      <c r="H120" s="19" t="s">
        <v>615</v>
      </c>
      <c r="I120" s="19" t="s">
        <v>289</v>
      </c>
    </row>
    <row r="121" customHeight="1" spans="2:9">
      <c r="B121" s="17" t="s">
        <v>616</v>
      </c>
      <c r="C121" s="18" t="s">
        <v>588</v>
      </c>
      <c r="D121" s="19">
        <v>14</v>
      </c>
      <c r="E121" s="19" t="s">
        <v>291</v>
      </c>
      <c r="F121" s="19" t="s">
        <v>286</v>
      </c>
      <c r="G121" s="19" t="s">
        <v>287</v>
      </c>
      <c r="H121" s="20" t="s">
        <v>617</v>
      </c>
      <c r="I121" s="19" t="s">
        <v>289</v>
      </c>
    </row>
    <row r="122" customHeight="1" spans="2:9">
      <c r="B122" s="17" t="s">
        <v>618</v>
      </c>
      <c r="C122" s="18" t="s">
        <v>588</v>
      </c>
      <c r="D122" s="19">
        <v>18</v>
      </c>
      <c r="E122" s="19" t="s">
        <v>291</v>
      </c>
      <c r="F122" s="19" t="s">
        <v>78</v>
      </c>
      <c r="G122" s="19" t="s">
        <v>287</v>
      </c>
      <c r="H122" s="20" t="s">
        <v>619</v>
      </c>
      <c r="I122" s="19" t="s">
        <v>289</v>
      </c>
    </row>
    <row r="123" customHeight="1" spans="2:9">
      <c r="B123" s="17" t="s">
        <v>620</v>
      </c>
      <c r="C123" s="18" t="s">
        <v>588</v>
      </c>
      <c r="D123" s="19">
        <v>24</v>
      </c>
      <c r="E123" s="19" t="s">
        <v>291</v>
      </c>
      <c r="F123" s="19" t="s">
        <v>78</v>
      </c>
      <c r="G123" s="19" t="s">
        <v>287</v>
      </c>
      <c r="H123" s="19" t="s">
        <v>621</v>
      </c>
      <c r="I123" s="19" t="s">
        <v>289</v>
      </c>
    </row>
    <row r="124" customHeight="1" spans="2:9">
      <c r="B124" s="17" t="s">
        <v>622</v>
      </c>
      <c r="C124" s="18" t="s">
        <v>588</v>
      </c>
      <c r="D124" s="19">
        <v>21</v>
      </c>
      <c r="E124" s="19" t="s">
        <v>285</v>
      </c>
      <c r="F124" s="19" t="s">
        <v>78</v>
      </c>
      <c r="G124" s="19" t="s">
        <v>343</v>
      </c>
      <c r="H124" s="19" t="s">
        <v>623</v>
      </c>
      <c r="I124" s="19" t="s">
        <v>289</v>
      </c>
    </row>
    <row r="125" customHeight="1" spans="2:9">
      <c r="B125" s="17" t="s">
        <v>624</v>
      </c>
      <c r="C125" s="18" t="s">
        <v>588</v>
      </c>
      <c r="D125" s="19">
        <v>24</v>
      </c>
      <c r="E125" s="19" t="s">
        <v>285</v>
      </c>
      <c r="F125" s="19" t="s">
        <v>286</v>
      </c>
      <c r="G125" s="19" t="s">
        <v>287</v>
      </c>
      <c r="H125" s="19" t="s">
        <v>625</v>
      </c>
      <c r="I125" s="19" t="s">
        <v>289</v>
      </c>
    </row>
    <row r="126" customHeight="1" spans="2:9">
      <c r="B126" s="17" t="s">
        <v>626</v>
      </c>
      <c r="C126" s="18" t="s">
        <v>588</v>
      </c>
      <c r="D126" s="19">
        <v>14</v>
      </c>
      <c r="E126" s="19" t="s">
        <v>291</v>
      </c>
      <c r="F126" s="19" t="s">
        <v>78</v>
      </c>
      <c r="G126" s="19" t="s">
        <v>343</v>
      </c>
      <c r="H126" s="19" t="s">
        <v>627</v>
      </c>
      <c r="I126" s="19" t="s">
        <v>289</v>
      </c>
    </row>
    <row r="127" customHeight="1" spans="2:9">
      <c r="B127" s="17" t="s">
        <v>628</v>
      </c>
      <c r="C127" s="18" t="s">
        <v>588</v>
      </c>
      <c r="D127" s="19">
        <v>19</v>
      </c>
      <c r="E127" s="19" t="s">
        <v>291</v>
      </c>
      <c r="F127" s="19" t="s">
        <v>78</v>
      </c>
      <c r="G127" s="19" t="s">
        <v>610</v>
      </c>
      <c r="H127" s="19" t="s">
        <v>629</v>
      </c>
      <c r="I127" s="19" t="s">
        <v>289</v>
      </c>
    </row>
    <row r="128" customHeight="1" spans="2:9">
      <c r="B128" s="17" t="s">
        <v>630</v>
      </c>
      <c r="C128" s="18" t="s">
        <v>588</v>
      </c>
      <c r="D128" s="19">
        <v>24</v>
      </c>
      <c r="E128" s="19" t="s">
        <v>285</v>
      </c>
      <c r="F128" s="19" t="s">
        <v>286</v>
      </c>
      <c r="G128" s="19" t="s">
        <v>292</v>
      </c>
      <c r="H128" s="20" t="s">
        <v>631</v>
      </c>
      <c r="I128" s="19" t="s">
        <v>632</v>
      </c>
    </row>
    <row r="129" customHeight="1" spans="2:9">
      <c r="B129" s="17" t="s">
        <v>633</v>
      </c>
      <c r="C129" s="18" t="s">
        <v>588</v>
      </c>
      <c r="D129" s="19">
        <v>19</v>
      </c>
      <c r="E129" s="19" t="s">
        <v>291</v>
      </c>
      <c r="F129" s="19" t="s">
        <v>78</v>
      </c>
      <c r="G129" s="19" t="s">
        <v>610</v>
      </c>
      <c r="H129" s="20" t="s">
        <v>634</v>
      </c>
      <c r="I129" s="19" t="s">
        <v>289</v>
      </c>
    </row>
    <row r="130" customHeight="1" spans="2:9">
      <c r="B130" s="17" t="s">
        <v>635</v>
      </c>
      <c r="C130" s="18" t="s">
        <v>588</v>
      </c>
      <c r="D130" s="19">
        <v>24</v>
      </c>
      <c r="E130" s="19" t="s">
        <v>285</v>
      </c>
      <c r="F130" s="19" t="s">
        <v>286</v>
      </c>
      <c r="G130" s="19" t="s">
        <v>636</v>
      </c>
      <c r="H130" s="20" t="s">
        <v>637</v>
      </c>
      <c r="I130" s="19" t="s">
        <v>289</v>
      </c>
    </row>
    <row r="131" customHeight="1" spans="2:9">
      <c r="B131" s="17" t="s">
        <v>638</v>
      </c>
      <c r="C131" s="18" t="s">
        <v>588</v>
      </c>
      <c r="D131" s="19">
        <v>27</v>
      </c>
      <c r="E131" s="19" t="s">
        <v>285</v>
      </c>
      <c r="F131" s="19" t="s">
        <v>78</v>
      </c>
      <c r="G131" s="19" t="s">
        <v>580</v>
      </c>
      <c r="H131" s="19" t="s">
        <v>639</v>
      </c>
      <c r="I131" s="19" t="s">
        <v>289</v>
      </c>
    </row>
    <row r="132" customHeight="1" spans="2:9">
      <c r="B132" s="17" t="s">
        <v>640</v>
      </c>
      <c r="C132" s="18" t="s">
        <v>588</v>
      </c>
      <c r="D132" s="19">
        <v>21</v>
      </c>
      <c r="E132" s="19" t="s">
        <v>291</v>
      </c>
      <c r="F132" s="19" t="s">
        <v>78</v>
      </c>
      <c r="G132" s="19" t="s">
        <v>292</v>
      </c>
      <c r="H132" s="19" t="s">
        <v>641</v>
      </c>
      <c r="I132" s="19" t="s">
        <v>289</v>
      </c>
    </row>
    <row r="133" customHeight="1" spans="2:9">
      <c r="B133" s="17" t="s">
        <v>642</v>
      </c>
      <c r="C133" s="18" t="s">
        <v>588</v>
      </c>
      <c r="D133" s="19">
        <v>16</v>
      </c>
      <c r="E133" s="19" t="s">
        <v>291</v>
      </c>
      <c r="F133" s="19" t="s">
        <v>78</v>
      </c>
      <c r="G133" s="19" t="s">
        <v>580</v>
      </c>
      <c r="H133" s="20" t="s">
        <v>643</v>
      </c>
      <c r="I133" s="19" t="s">
        <v>644</v>
      </c>
    </row>
    <row r="134" customHeight="1" spans="2:9">
      <c r="B134" s="17" t="s">
        <v>645</v>
      </c>
      <c r="C134" s="18" t="s">
        <v>588</v>
      </c>
      <c r="D134" s="19">
        <v>14</v>
      </c>
      <c r="E134" s="19" t="s">
        <v>291</v>
      </c>
      <c r="F134" s="19" t="s">
        <v>78</v>
      </c>
      <c r="G134" s="19" t="s">
        <v>343</v>
      </c>
      <c r="H134" s="20" t="s">
        <v>646</v>
      </c>
      <c r="I134" s="19" t="s">
        <v>289</v>
      </c>
    </row>
    <row r="135" customHeight="1" spans="2:9">
      <c r="B135" s="13" t="s">
        <v>647</v>
      </c>
      <c r="C135" s="18" t="s">
        <v>648</v>
      </c>
      <c r="D135" s="19">
        <v>28</v>
      </c>
      <c r="E135" s="19" t="s">
        <v>285</v>
      </c>
      <c r="F135" s="19" t="s">
        <v>286</v>
      </c>
      <c r="G135" s="19" t="s">
        <v>649</v>
      </c>
      <c r="H135" s="20" t="s">
        <v>650</v>
      </c>
      <c r="I135" s="19" t="s">
        <v>601</v>
      </c>
    </row>
  </sheetData>
  <pageMargins left="0.75" right="0.75" top="1" bottom="1" header="0.5" footer="0.5"/>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J34" sqref="J34:Q34"/>
    </sheetView>
  </sheetViews>
  <sheetFormatPr defaultColWidth="9" defaultRowHeight="14" outlineLevelCol="6"/>
  <cols>
    <col min="1" max="4" width="12.4166666666667" style="6" customWidth="1"/>
    <col min="5" max="6" width="20.5" style="6" customWidth="1"/>
    <col min="7" max="16384" width="9" style="7"/>
  </cols>
  <sheetData>
    <row r="1" spans="1:7">
      <c r="A1" s="8" t="s">
        <v>651</v>
      </c>
      <c r="B1" s="8" t="s">
        <v>20</v>
      </c>
      <c r="C1" s="8" t="s">
        <v>652</v>
      </c>
      <c r="D1" s="8" t="s">
        <v>653</v>
      </c>
      <c r="E1" s="8" t="s">
        <v>17</v>
      </c>
      <c r="F1" s="8" t="s">
        <v>654</v>
      </c>
      <c r="G1" s="8" t="s">
        <v>655</v>
      </c>
    </row>
    <row r="2" spans="1:7">
      <c r="A2" s="9" t="s">
        <v>656</v>
      </c>
      <c r="B2" s="8">
        <v>100</v>
      </c>
      <c r="C2" s="8">
        <v>1</v>
      </c>
      <c r="D2" s="8" t="s">
        <v>657</v>
      </c>
      <c r="E2" s="8" t="s">
        <v>658</v>
      </c>
      <c r="F2" s="8">
        <v>50</v>
      </c>
      <c r="G2" s="8">
        <v>5</v>
      </c>
    </row>
    <row r="3" spans="1:7">
      <c r="A3" s="9" t="s">
        <v>659</v>
      </c>
      <c r="B3" s="8">
        <v>50</v>
      </c>
      <c r="C3" s="8">
        <v>2</v>
      </c>
      <c r="D3" s="8" t="s">
        <v>657</v>
      </c>
      <c r="E3" s="8" t="s">
        <v>660</v>
      </c>
      <c r="F3" s="8">
        <v>70</v>
      </c>
      <c r="G3" s="8">
        <v>7</v>
      </c>
    </row>
    <row r="4" spans="1:7">
      <c r="A4" s="9" t="s">
        <v>661</v>
      </c>
      <c r="B4" s="8">
        <v>120</v>
      </c>
      <c r="C4" s="8">
        <v>3</v>
      </c>
      <c r="D4" s="8" t="s">
        <v>657</v>
      </c>
      <c r="E4" s="8" t="s">
        <v>662</v>
      </c>
      <c r="F4" s="8">
        <v>100</v>
      </c>
      <c r="G4" s="8">
        <v>10</v>
      </c>
    </row>
    <row r="5" spans="1:7">
      <c r="A5" s="9" t="s">
        <v>663</v>
      </c>
      <c r="B5" s="8">
        <v>300</v>
      </c>
      <c r="C5" s="8">
        <v>5</v>
      </c>
      <c r="D5" s="8" t="s">
        <v>657</v>
      </c>
      <c r="E5" s="8" t="s">
        <v>664</v>
      </c>
      <c r="F5" s="8">
        <v>120</v>
      </c>
      <c r="G5" s="8">
        <v>12</v>
      </c>
    </row>
    <row r="6" spans="1:7">
      <c r="A6" s="9" t="s">
        <v>665</v>
      </c>
      <c r="B6" s="8">
        <v>70</v>
      </c>
      <c r="C6" s="8">
        <v>1</v>
      </c>
      <c r="D6" s="8" t="s">
        <v>657</v>
      </c>
      <c r="E6" s="8" t="s">
        <v>666</v>
      </c>
      <c r="F6" s="8">
        <v>150</v>
      </c>
      <c r="G6" s="8">
        <v>15</v>
      </c>
    </row>
    <row r="7" spans="1:7">
      <c r="A7" s="9" t="s">
        <v>667</v>
      </c>
      <c r="B7" s="8">
        <v>50</v>
      </c>
      <c r="C7" s="8">
        <v>1</v>
      </c>
      <c r="D7" s="8" t="s">
        <v>668</v>
      </c>
      <c r="E7" s="8" t="s">
        <v>669</v>
      </c>
      <c r="F7" s="8">
        <v>200</v>
      </c>
      <c r="G7" s="8">
        <v>20</v>
      </c>
    </row>
    <row r="8" spans="1:7">
      <c r="A8" s="9" t="s">
        <v>670</v>
      </c>
      <c r="B8" s="8">
        <v>10</v>
      </c>
      <c r="C8" s="8">
        <v>1</v>
      </c>
      <c r="D8" s="8" t="s">
        <v>668</v>
      </c>
      <c r="E8" s="8" t="s">
        <v>671</v>
      </c>
      <c r="F8" s="8">
        <v>500</v>
      </c>
      <c r="G8" s="8">
        <v>50</v>
      </c>
    </row>
    <row r="9" spans="1:7">
      <c r="A9" s="9" t="s">
        <v>672</v>
      </c>
      <c r="B9" s="8">
        <v>150</v>
      </c>
      <c r="C9" s="8">
        <v>1</v>
      </c>
      <c r="D9" s="8" t="s">
        <v>657</v>
      </c>
    </row>
    <row r="10" spans="1:7">
      <c r="A10" s="9" t="s">
        <v>673</v>
      </c>
    </row>
  </sheetData>
  <pageMargins left="0.7" right="0.7" top="0.75" bottom="0.75"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1"/>
  <sheetViews>
    <sheetView zoomScale="55" zoomScaleNormal="55" topLeftCell="F1" workbookViewId="0">
      <selection activeCell="J34" sqref="J34:Q34"/>
    </sheetView>
  </sheetViews>
  <sheetFormatPr defaultColWidth="9" defaultRowHeight="15"/>
  <cols>
    <col min="1" max="1" width="9" style="1"/>
    <col min="2" max="2" width="51.3416666666667" style="1" customWidth="1"/>
    <col min="3" max="17" width="9" style="1"/>
    <col min="18" max="18" width="12.2666666666667" style="1" customWidth="1"/>
    <col min="19" max="16384" width="9" style="1"/>
  </cols>
  <sheetData>
    <row r="1" ht="18" customHeight="1" spans="1:20">
      <c r="A1" s="2" t="s">
        <v>23</v>
      </c>
      <c r="B1" s="2" t="s">
        <v>22</v>
      </c>
      <c r="C1" s="2" t="s">
        <v>67</v>
      </c>
      <c r="D1" s="3" t="s">
        <v>674</v>
      </c>
      <c r="E1" s="3" t="s">
        <v>68</v>
      </c>
      <c r="F1" s="3" t="s">
        <v>69</v>
      </c>
      <c r="G1" s="3" t="s">
        <v>675</v>
      </c>
      <c r="H1" s="4" t="s">
        <v>676</v>
      </c>
      <c r="I1" s="4" t="s">
        <v>677</v>
      </c>
      <c r="J1" s="4" t="s">
        <v>678</v>
      </c>
      <c r="K1" s="4" t="s">
        <v>679</v>
      </c>
      <c r="L1" s="4" t="s">
        <v>58</v>
      </c>
      <c r="M1" s="4" t="s">
        <v>59</v>
      </c>
      <c r="N1" s="4" t="s">
        <v>60</v>
      </c>
      <c r="O1" s="4" t="s">
        <v>61</v>
      </c>
      <c r="P1" s="3" t="s">
        <v>680</v>
      </c>
      <c r="Q1" s="3" t="s">
        <v>681</v>
      </c>
      <c r="R1" s="5" t="s">
        <v>682</v>
      </c>
      <c r="S1" s="1" t="str" cm="1">
        <f t="array" ref="S1:S9">_xlfn.UNIQUE(灵能表[灵能类别])</f>
        <v>次级灵能</v>
      </c>
      <c r="T1" s="1" t="str" cm="1">
        <f t="array" ref="T1">IFERROR(_xlfn._xlws.FILTER(灵能表[灵能名称],灵能表[灵能类别]=灵能!E11),"")</f>
        <v/>
      </c>
    </row>
    <row r="2" ht="18" customHeight="1" spans="1:20">
      <c r="A2" s="2">
        <v>1</v>
      </c>
      <c r="B2" s="2" t="s">
        <v>683</v>
      </c>
      <c r="C2" s="2">
        <v>0</v>
      </c>
      <c r="D2" s="3">
        <v>0.9</v>
      </c>
      <c r="E2" s="3">
        <v>2.25</v>
      </c>
      <c r="F2" s="3">
        <v>4.5</v>
      </c>
      <c r="G2" s="3" t="s">
        <v>684</v>
      </c>
      <c r="H2" s="3">
        <v>0</v>
      </c>
      <c r="I2" s="3">
        <v>0</v>
      </c>
      <c r="J2" s="3">
        <v>0</v>
      </c>
      <c r="K2" s="3">
        <v>0</v>
      </c>
      <c r="L2" s="3">
        <f t="shared" ref="L2:L12" si="0">6*H2</f>
        <v>0</v>
      </c>
      <c r="M2" s="3" t="s">
        <v>503</v>
      </c>
      <c r="N2" s="3" t="s">
        <v>685</v>
      </c>
      <c r="O2" s="3" t="s">
        <v>686</v>
      </c>
      <c r="P2" s="3" t="s">
        <v>687</v>
      </c>
      <c r="Q2" s="3">
        <v>-30</v>
      </c>
      <c r="R2" s="4" t="s">
        <v>688</v>
      </c>
      <c r="S2" s="1" t="str">
        <v>生化学科</v>
      </c>
    </row>
    <row r="3" ht="18" customHeight="1" spans="1:20">
      <c r="A3" s="2">
        <v>2</v>
      </c>
      <c r="B3" s="2" t="s">
        <v>689</v>
      </c>
      <c r="C3" s="2">
        <v>1</v>
      </c>
      <c r="D3" s="3">
        <v>2.25</v>
      </c>
      <c r="E3" s="3">
        <v>4.5</v>
      </c>
      <c r="F3" s="3">
        <v>9</v>
      </c>
      <c r="G3" s="3" t="s">
        <v>690</v>
      </c>
      <c r="H3" s="3">
        <v>1</v>
      </c>
      <c r="I3" s="3">
        <v>1</v>
      </c>
      <c r="J3" s="3">
        <v>2</v>
      </c>
      <c r="K3" s="3">
        <v>3</v>
      </c>
      <c r="L3" s="3">
        <f t="shared" si="0"/>
        <v>6</v>
      </c>
      <c r="M3" s="3" t="s">
        <v>691</v>
      </c>
      <c r="N3" s="3" t="s">
        <v>692</v>
      </c>
      <c r="O3" s="3" t="s">
        <v>693</v>
      </c>
      <c r="P3" s="3" t="s">
        <v>694</v>
      </c>
      <c r="Q3" s="3">
        <v>-20</v>
      </c>
      <c r="R3" s="3" t="s">
        <v>695</v>
      </c>
      <c r="S3" s="1" t="str">
        <v>预言学科</v>
      </c>
    </row>
    <row r="4" ht="18" customHeight="1" spans="1:20">
      <c r="A4" s="2">
        <v>3</v>
      </c>
      <c r="B4" s="2" t="s">
        <v>689</v>
      </c>
      <c r="C4" s="2">
        <v>2</v>
      </c>
      <c r="D4" s="3">
        <v>4.5</v>
      </c>
      <c r="E4" s="3">
        <v>9</v>
      </c>
      <c r="F4" s="3">
        <v>18</v>
      </c>
      <c r="G4" s="3" t="s">
        <v>696</v>
      </c>
      <c r="H4" s="3">
        <v>2</v>
      </c>
      <c r="I4" s="3">
        <v>2</v>
      </c>
      <c r="J4" s="3">
        <v>4</v>
      </c>
      <c r="K4" s="3">
        <v>6</v>
      </c>
      <c r="L4" s="3">
        <f t="shared" si="0"/>
        <v>12</v>
      </c>
      <c r="M4" s="3" t="s">
        <v>697</v>
      </c>
      <c r="N4" s="3" t="s">
        <v>698</v>
      </c>
      <c r="O4" s="3" t="s">
        <v>699</v>
      </c>
      <c r="P4" s="3" t="s">
        <v>700</v>
      </c>
      <c r="Q4" s="3">
        <v>-10</v>
      </c>
      <c r="R4" s="3" t="s">
        <v>701</v>
      </c>
      <c r="S4" s="1" t="str">
        <v>操火学科</v>
      </c>
    </row>
    <row r="5" ht="18" customHeight="1" spans="1:20">
      <c r="A5" s="2">
        <v>4</v>
      </c>
      <c r="B5" s="2" t="s">
        <v>702</v>
      </c>
      <c r="C5" s="2">
        <v>3</v>
      </c>
      <c r="D5" s="3">
        <v>9</v>
      </c>
      <c r="E5" s="3">
        <f>2*D5</f>
        <v>18</v>
      </c>
      <c r="F5" s="3">
        <f>2*E5</f>
        <v>36</v>
      </c>
      <c r="G5" s="3" t="s">
        <v>703</v>
      </c>
      <c r="H5" s="3">
        <v>3</v>
      </c>
      <c r="I5" s="3">
        <v>3</v>
      </c>
      <c r="J5" s="3">
        <v>6</v>
      </c>
      <c r="K5" s="3">
        <v>9</v>
      </c>
      <c r="L5" s="3">
        <f t="shared" si="0"/>
        <v>18</v>
      </c>
      <c r="M5" s="3" t="s">
        <v>704</v>
      </c>
      <c r="N5" s="3" t="s">
        <v>705</v>
      </c>
      <c r="O5" s="3" t="s">
        <v>706</v>
      </c>
      <c r="P5" s="3" t="s">
        <v>707</v>
      </c>
      <c r="Q5" s="3">
        <v>0</v>
      </c>
      <c r="R5" s="3" t="s">
        <v>708</v>
      </c>
      <c r="S5" s="1" t="str">
        <v>遥感学科</v>
      </c>
    </row>
    <row r="6" ht="18" customHeight="1" spans="1:20">
      <c r="A6" s="2">
        <v>5</v>
      </c>
      <c r="B6" s="2" t="s">
        <v>702</v>
      </c>
      <c r="C6" s="2">
        <v>4</v>
      </c>
      <c r="D6" s="3">
        <v>18</v>
      </c>
      <c r="E6" s="3">
        <v>36</v>
      </c>
      <c r="F6" s="3">
        <v>72</v>
      </c>
      <c r="G6" s="3" t="s">
        <v>709</v>
      </c>
      <c r="H6" s="3">
        <v>4</v>
      </c>
      <c r="I6" s="3">
        <v>4</v>
      </c>
      <c r="J6" s="3">
        <v>8</v>
      </c>
      <c r="K6" s="3">
        <v>12</v>
      </c>
      <c r="L6" s="3">
        <f t="shared" si="0"/>
        <v>24</v>
      </c>
      <c r="M6" s="3" t="s">
        <v>710</v>
      </c>
      <c r="N6" s="3" t="s">
        <v>711</v>
      </c>
      <c r="O6" s="3" t="s">
        <v>712</v>
      </c>
      <c r="P6" s="3" t="s">
        <v>713</v>
      </c>
      <c r="Q6" s="3">
        <v>10</v>
      </c>
      <c r="R6" s="3" t="s">
        <v>714</v>
      </c>
      <c r="S6" s="1" t="str">
        <v>传心学科</v>
      </c>
    </row>
    <row r="7" ht="18" customHeight="1" spans="1:20">
      <c r="A7" s="2">
        <v>6</v>
      </c>
      <c r="B7" s="2" t="s">
        <v>702</v>
      </c>
      <c r="C7" s="2">
        <v>5</v>
      </c>
      <c r="D7" s="3">
        <v>27</v>
      </c>
      <c r="E7" s="3">
        <v>54</v>
      </c>
      <c r="F7" s="3">
        <v>108</v>
      </c>
      <c r="G7" s="3" t="s">
        <v>715</v>
      </c>
      <c r="H7" s="3">
        <v>5</v>
      </c>
      <c r="I7" s="3">
        <v>5</v>
      </c>
      <c r="J7" s="3">
        <v>10</v>
      </c>
      <c r="K7" s="3">
        <v>15</v>
      </c>
      <c r="L7" s="3">
        <f t="shared" si="0"/>
        <v>30</v>
      </c>
      <c r="M7" s="3" t="s">
        <v>716</v>
      </c>
      <c r="N7" s="3" t="s">
        <v>686</v>
      </c>
      <c r="O7" s="3" t="s">
        <v>717</v>
      </c>
      <c r="P7" s="3" t="s">
        <v>718</v>
      </c>
      <c r="Q7" s="3">
        <v>20</v>
      </c>
      <c r="R7" s="3" t="s">
        <v>719</v>
      </c>
      <c r="S7" s="1" t="str">
        <v>次级秘仪</v>
      </c>
    </row>
    <row r="8" ht="18" customHeight="1" spans="1:20">
      <c r="A8" s="2">
        <v>7</v>
      </c>
      <c r="B8" s="2" t="s">
        <v>702</v>
      </c>
      <c r="C8" s="2">
        <v>6</v>
      </c>
      <c r="D8" s="3">
        <v>36</v>
      </c>
      <c r="E8" s="3">
        <v>72</v>
      </c>
      <c r="F8" s="3">
        <v>144</v>
      </c>
      <c r="G8" s="3" t="s">
        <v>720</v>
      </c>
      <c r="H8" s="3">
        <v>6</v>
      </c>
      <c r="I8" s="3">
        <v>6</v>
      </c>
      <c r="J8" s="3">
        <v>12</v>
      </c>
      <c r="K8" s="3">
        <v>18</v>
      </c>
      <c r="L8" s="3">
        <f t="shared" si="0"/>
        <v>36</v>
      </c>
      <c r="M8" s="3" t="s">
        <v>721</v>
      </c>
      <c r="N8" s="3" t="s">
        <v>722</v>
      </c>
      <c r="O8" s="3" t="s">
        <v>723</v>
      </c>
      <c r="P8" s="3" t="s">
        <v>724</v>
      </c>
      <c r="Q8" s="3">
        <v>30</v>
      </c>
      <c r="R8" s="3" t="s">
        <v>725</v>
      </c>
      <c r="S8" s="1" t="str">
        <v>高阶秘仪</v>
      </c>
    </row>
    <row r="9" ht="18" customHeight="1" spans="1:20">
      <c r="A9" s="2">
        <v>8</v>
      </c>
      <c r="B9" s="2" t="s">
        <v>726</v>
      </c>
      <c r="C9" s="2">
        <v>7</v>
      </c>
      <c r="D9" s="3">
        <v>45</v>
      </c>
      <c r="E9" s="3">
        <v>90</v>
      </c>
      <c r="F9" s="3">
        <v>180</v>
      </c>
      <c r="G9" s="3" t="s">
        <v>727</v>
      </c>
      <c r="H9" s="3">
        <v>7</v>
      </c>
      <c r="I9" s="3">
        <v>7</v>
      </c>
      <c r="J9" s="3">
        <v>14</v>
      </c>
      <c r="K9" s="3">
        <v>21</v>
      </c>
      <c r="L9" s="3">
        <f t="shared" si="0"/>
        <v>42</v>
      </c>
      <c r="M9" s="3" t="s">
        <v>728</v>
      </c>
      <c r="N9" s="3" t="s">
        <v>729</v>
      </c>
      <c r="O9" s="3" t="s">
        <v>730</v>
      </c>
      <c r="R9" s="3" t="s">
        <v>731</v>
      </c>
      <c r="S9" s="1" t="str">
        <v>其他灵能</v>
      </c>
    </row>
    <row r="10" ht="18" customHeight="1" spans="1:20">
      <c r="A10" s="2">
        <v>9</v>
      </c>
      <c r="B10" s="2" t="s">
        <v>732</v>
      </c>
      <c r="C10" s="2">
        <v>8</v>
      </c>
      <c r="D10" s="3">
        <v>56</v>
      </c>
      <c r="E10" s="3">
        <v>112</v>
      </c>
      <c r="F10" s="3">
        <v>224</v>
      </c>
      <c r="G10" s="3" t="s">
        <v>733</v>
      </c>
      <c r="H10" s="3">
        <v>8</v>
      </c>
      <c r="I10" s="3">
        <v>8</v>
      </c>
      <c r="J10" s="3">
        <v>16</v>
      </c>
      <c r="K10" s="3">
        <v>24</v>
      </c>
      <c r="L10" s="3">
        <f t="shared" si="0"/>
        <v>48</v>
      </c>
      <c r="M10" s="3" t="s">
        <v>734</v>
      </c>
      <c r="N10" s="3" t="s">
        <v>735</v>
      </c>
      <c r="O10" s="3" t="s">
        <v>736</v>
      </c>
      <c r="R10" s="3" t="s">
        <v>737</v>
      </c>
    </row>
    <row r="11" ht="18" customHeight="1" spans="1:20">
      <c r="A11" s="2">
        <v>10</v>
      </c>
      <c r="B11" s="2" t="s">
        <v>732</v>
      </c>
      <c r="C11" s="2">
        <v>9</v>
      </c>
      <c r="D11" s="3">
        <v>67</v>
      </c>
      <c r="E11" s="3">
        <v>134</v>
      </c>
      <c r="F11" s="3">
        <v>268</v>
      </c>
      <c r="H11" s="3">
        <v>9</v>
      </c>
      <c r="I11" s="3">
        <v>9</v>
      </c>
      <c r="J11" s="3">
        <v>18</v>
      </c>
      <c r="K11" s="3">
        <v>27</v>
      </c>
      <c r="L11" s="3">
        <f t="shared" si="0"/>
        <v>54</v>
      </c>
      <c r="M11" s="3" t="s">
        <v>738</v>
      </c>
      <c r="N11" s="3" t="s">
        <v>739</v>
      </c>
      <c r="O11" s="3" t="s">
        <v>740</v>
      </c>
      <c r="R11" s="3" t="s">
        <v>741</v>
      </c>
    </row>
    <row r="12" ht="18" customHeight="1" spans="1:20">
      <c r="A12" s="2">
        <v>11</v>
      </c>
      <c r="B12" s="2" t="s">
        <v>732</v>
      </c>
      <c r="C12" s="2">
        <v>10</v>
      </c>
      <c r="D12" s="3">
        <v>78</v>
      </c>
      <c r="E12" s="3">
        <v>156</v>
      </c>
      <c r="F12" s="3">
        <v>312</v>
      </c>
      <c r="H12" s="3">
        <v>10</v>
      </c>
      <c r="I12" s="3">
        <v>10</v>
      </c>
      <c r="J12" s="3">
        <v>20</v>
      </c>
      <c r="K12" s="3">
        <v>30</v>
      </c>
      <c r="L12" s="3">
        <f t="shared" si="0"/>
        <v>60</v>
      </c>
      <c r="M12" s="3" t="s">
        <v>742</v>
      </c>
      <c r="N12" s="3" t="s">
        <v>743</v>
      </c>
      <c r="O12" s="3" t="s">
        <v>744</v>
      </c>
      <c r="R12" s="3" t="s">
        <v>745</v>
      </c>
    </row>
    <row r="13" ht="18" customHeight="1" spans="1:20">
      <c r="A13" s="2">
        <v>12</v>
      </c>
      <c r="B13" s="2" t="s">
        <v>746</v>
      </c>
      <c r="C13" s="2">
        <v>11</v>
      </c>
      <c r="D13" s="3">
        <v>90</v>
      </c>
      <c r="E13" s="3">
        <v>180</v>
      </c>
      <c r="F13" s="3">
        <v>360</v>
      </c>
      <c r="R13" s="3" t="s">
        <v>747</v>
      </c>
    </row>
    <row r="14" ht="18" customHeight="1" spans="1:20">
      <c r="A14" s="2">
        <v>13</v>
      </c>
      <c r="B14" s="2" t="s">
        <v>746</v>
      </c>
      <c r="C14" s="2">
        <v>12</v>
      </c>
      <c r="D14" s="3">
        <v>112</v>
      </c>
      <c r="E14" s="3">
        <v>224</v>
      </c>
      <c r="F14" s="3">
        <v>448</v>
      </c>
      <c r="R14" s="3" t="s">
        <v>748</v>
      </c>
    </row>
    <row r="15" ht="18" customHeight="1" spans="1:20">
      <c r="A15" s="2">
        <v>14</v>
      </c>
      <c r="B15" s="2" t="s">
        <v>746</v>
      </c>
      <c r="C15" s="2">
        <v>13</v>
      </c>
      <c r="D15" s="3">
        <v>225</v>
      </c>
      <c r="E15" s="3">
        <v>450</v>
      </c>
      <c r="F15" s="3">
        <v>900</v>
      </c>
      <c r="R15" s="3" t="s">
        <v>749</v>
      </c>
    </row>
    <row r="16" ht="18" customHeight="1" spans="1:20">
      <c r="A16" s="2">
        <v>15</v>
      </c>
      <c r="B16" s="2" t="s">
        <v>746</v>
      </c>
      <c r="C16" s="2">
        <v>14</v>
      </c>
      <c r="D16" s="3">
        <v>337</v>
      </c>
      <c r="E16" s="3">
        <v>674</v>
      </c>
      <c r="F16" s="3">
        <v>1348</v>
      </c>
      <c r="R16" s="3" t="s">
        <v>750</v>
      </c>
    </row>
    <row r="17" ht="18" customHeight="1" spans="1:18">
      <c r="A17" s="2">
        <v>16</v>
      </c>
      <c r="B17" s="2" t="s">
        <v>751</v>
      </c>
      <c r="C17" s="2">
        <v>15</v>
      </c>
      <c r="D17" s="3">
        <v>450</v>
      </c>
      <c r="E17" s="3">
        <v>900</v>
      </c>
      <c r="F17" s="3">
        <v>1800</v>
      </c>
      <c r="R17" s="3" t="s">
        <v>752</v>
      </c>
    </row>
    <row r="18" ht="18" customHeight="1" spans="1:18">
      <c r="A18" s="2">
        <v>17</v>
      </c>
      <c r="B18" s="2" t="s">
        <v>751</v>
      </c>
      <c r="C18" s="2">
        <v>16</v>
      </c>
      <c r="D18" s="3">
        <v>675</v>
      </c>
      <c r="E18" s="3">
        <v>1350</v>
      </c>
      <c r="F18" s="3">
        <v>2700</v>
      </c>
      <c r="R18" s="3" t="s">
        <v>753</v>
      </c>
    </row>
    <row r="19" ht="18" customHeight="1" spans="1:18">
      <c r="A19" s="2">
        <v>18</v>
      </c>
      <c r="B19" s="2" t="s">
        <v>751</v>
      </c>
      <c r="C19" s="2">
        <v>17</v>
      </c>
      <c r="D19" s="3">
        <v>900</v>
      </c>
      <c r="E19" s="3">
        <v>1800</v>
      </c>
      <c r="F19" s="3">
        <v>3600</v>
      </c>
      <c r="R19" s="3" t="s">
        <v>754</v>
      </c>
    </row>
    <row r="20" ht="18" customHeight="1" spans="1:18">
      <c r="A20" s="2">
        <v>19</v>
      </c>
      <c r="B20" s="2" t="s">
        <v>755</v>
      </c>
      <c r="C20" s="2">
        <v>18</v>
      </c>
      <c r="D20" s="3">
        <v>1350</v>
      </c>
      <c r="E20" s="3">
        <v>2700</v>
      </c>
      <c r="F20" s="3">
        <v>5400</v>
      </c>
      <c r="R20" s="3" t="s">
        <v>756</v>
      </c>
    </row>
    <row r="21" ht="18" customHeight="1" spans="1:18">
      <c r="A21" s="2">
        <v>20</v>
      </c>
      <c r="B21" s="2" t="s">
        <v>755</v>
      </c>
      <c r="C21" s="2">
        <v>19</v>
      </c>
      <c r="D21" s="3">
        <v>1800</v>
      </c>
      <c r="E21" s="3">
        <v>3600</v>
      </c>
      <c r="F21" s="3">
        <v>7200</v>
      </c>
      <c r="R21" s="3" t="s">
        <v>757</v>
      </c>
    </row>
    <row r="22" ht="18" customHeight="1" spans="1:18">
      <c r="A22" s="2">
        <v>21</v>
      </c>
      <c r="B22" s="2" t="s">
        <v>755</v>
      </c>
      <c r="C22" s="2">
        <v>20</v>
      </c>
      <c r="D22" s="3">
        <v>2250</v>
      </c>
      <c r="E22" s="3">
        <v>4500</v>
      </c>
      <c r="F22" s="3">
        <v>9000</v>
      </c>
      <c r="R22" s="3" t="s">
        <v>758</v>
      </c>
    </row>
    <row r="23" ht="18" customHeight="1" spans="1:18">
      <c r="A23" s="2">
        <v>22</v>
      </c>
      <c r="B23" s="2" t="s">
        <v>759</v>
      </c>
      <c r="R23" s="3" t="s">
        <v>760</v>
      </c>
    </row>
    <row r="24" ht="18" customHeight="1" spans="1:18">
      <c r="A24" s="2">
        <v>23</v>
      </c>
      <c r="B24" s="2" t="s">
        <v>759</v>
      </c>
    </row>
    <row r="25" ht="18" customHeight="1" spans="1:18">
      <c r="A25" s="2">
        <v>24</v>
      </c>
      <c r="B25" s="2" t="s">
        <v>759</v>
      </c>
    </row>
    <row r="26" ht="18" customHeight="1" spans="1:18">
      <c r="A26" s="2">
        <v>25</v>
      </c>
      <c r="B26" s="2" t="s">
        <v>759</v>
      </c>
    </row>
    <row r="27" ht="18" customHeight="1" spans="1:18">
      <c r="A27" s="2">
        <v>26</v>
      </c>
      <c r="B27" s="2" t="s">
        <v>759</v>
      </c>
    </row>
    <row r="28" ht="18" customHeight="1" spans="1:18">
      <c r="A28" s="2">
        <v>27</v>
      </c>
      <c r="B28" s="2" t="s">
        <v>761</v>
      </c>
    </row>
    <row r="29" ht="18" customHeight="1" spans="1:18">
      <c r="A29" s="2">
        <v>28</v>
      </c>
      <c r="B29" s="2" t="s">
        <v>761</v>
      </c>
    </row>
    <row r="30" ht="18" customHeight="1" spans="1:18">
      <c r="A30" s="2">
        <v>29</v>
      </c>
      <c r="B30" s="2" t="s">
        <v>761</v>
      </c>
    </row>
    <row r="31" ht="18" customHeight="1" spans="1:18">
      <c r="A31" s="2">
        <v>30</v>
      </c>
      <c r="B31" s="2" t="s">
        <v>761</v>
      </c>
    </row>
    <row r="32" ht="18" customHeight="1" spans="1:18">
      <c r="A32" s="2">
        <v>31</v>
      </c>
      <c r="B32" s="2" t="s">
        <v>762</v>
      </c>
    </row>
    <row r="33" ht="18" customHeight="1" spans="1:2">
      <c r="A33" s="2">
        <v>32</v>
      </c>
      <c r="B33" s="2" t="s">
        <v>762</v>
      </c>
    </row>
    <row r="34" ht="18" customHeight="1" spans="1:2">
      <c r="A34" s="2">
        <v>33</v>
      </c>
      <c r="B34" s="2" t="s">
        <v>762</v>
      </c>
    </row>
    <row r="35" ht="18" customHeight="1" spans="1:2">
      <c r="A35" s="2">
        <v>34</v>
      </c>
      <c r="B35" s="2" t="s">
        <v>763</v>
      </c>
    </row>
    <row r="36" ht="18" customHeight="1" spans="1:2">
      <c r="A36" s="2">
        <v>35</v>
      </c>
      <c r="B36" s="2" t="s">
        <v>763</v>
      </c>
    </row>
    <row r="37" ht="18" customHeight="1" spans="1:2">
      <c r="A37" s="2">
        <v>36</v>
      </c>
      <c r="B37" s="2" t="s">
        <v>763</v>
      </c>
    </row>
    <row r="38" ht="18" customHeight="1" spans="1:2">
      <c r="A38" s="2">
        <v>37</v>
      </c>
      <c r="B38" s="2" t="s">
        <v>763</v>
      </c>
    </row>
    <row r="39" ht="18" customHeight="1" spans="1:2">
      <c r="A39" s="2">
        <v>38</v>
      </c>
      <c r="B39" s="2" t="s">
        <v>763</v>
      </c>
    </row>
    <row r="40" ht="18" customHeight="1" spans="1:2">
      <c r="A40" s="2">
        <v>39</v>
      </c>
      <c r="B40" s="2" t="s">
        <v>764</v>
      </c>
    </row>
    <row r="41" ht="18" customHeight="1" spans="1:2">
      <c r="A41" s="2">
        <v>40</v>
      </c>
      <c r="B41" s="2" t="s">
        <v>764</v>
      </c>
    </row>
    <row r="42" ht="18" customHeight="1" spans="1:2">
      <c r="A42" s="2">
        <v>41</v>
      </c>
      <c r="B42" s="2" t="s">
        <v>764</v>
      </c>
    </row>
    <row r="43" ht="18" customHeight="1" spans="1:2">
      <c r="A43" s="2">
        <v>42</v>
      </c>
      <c r="B43" s="2" t="s">
        <v>764</v>
      </c>
    </row>
    <row r="44" ht="18" customHeight="1" spans="1:2">
      <c r="A44" s="2">
        <v>43</v>
      </c>
      <c r="B44" s="2" t="s">
        <v>765</v>
      </c>
    </row>
    <row r="45" ht="18" customHeight="1" spans="1:2">
      <c r="A45" s="2">
        <v>44</v>
      </c>
      <c r="B45" s="2" t="s">
        <v>765</v>
      </c>
    </row>
    <row r="46" ht="18" customHeight="1" spans="1:2">
      <c r="A46" s="2">
        <v>45</v>
      </c>
      <c r="B46" s="2" t="s">
        <v>765</v>
      </c>
    </row>
    <row r="47" ht="18" customHeight="1" spans="1:2">
      <c r="A47" s="2">
        <v>46</v>
      </c>
      <c r="B47" s="2" t="s">
        <v>765</v>
      </c>
    </row>
    <row r="48" ht="18" customHeight="1" spans="1:2">
      <c r="A48" s="2">
        <v>47</v>
      </c>
      <c r="B48" s="2" t="s">
        <v>766</v>
      </c>
    </row>
    <row r="49" ht="18" customHeight="1" spans="1:2">
      <c r="A49" s="2">
        <v>48</v>
      </c>
      <c r="B49" s="2" t="s">
        <v>766</v>
      </c>
    </row>
    <row r="50" ht="18" customHeight="1" spans="1:2">
      <c r="A50" s="2">
        <v>49</v>
      </c>
      <c r="B50" s="2" t="s">
        <v>766</v>
      </c>
    </row>
    <row r="51" ht="18" customHeight="1" spans="1:2">
      <c r="A51" s="2">
        <v>50</v>
      </c>
      <c r="B51" s="2" t="s">
        <v>766</v>
      </c>
    </row>
    <row r="52" ht="18" customHeight="1" spans="1:2">
      <c r="A52" s="2">
        <v>51</v>
      </c>
      <c r="B52" s="2" t="s">
        <v>767</v>
      </c>
    </row>
    <row r="53" ht="18" customHeight="1" spans="1:2">
      <c r="A53" s="2">
        <v>52</v>
      </c>
      <c r="B53" s="2" t="s">
        <v>767</v>
      </c>
    </row>
    <row r="54" ht="18" customHeight="1" spans="1:2">
      <c r="A54" s="2">
        <v>53</v>
      </c>
      <c r="B54" s="2" t="s">
        <v>767</v>
      </c>
    </row>
    <row r="55" ht="18" customHeight="1" spans="1:2">
      <c r="A55" s="2">
        <v>54</v>
      </c>
      <c r="B55" s="2" t="s">
        <v>767</v>
      </c>
    </row>
    <row r="56" ht="18" customHeight="1" spans="1:2">
      <c r="A56" s="2">
        <v>55</v>
      </c>
      <c r="B56" s="2" t="s">
        <v>768</v>
      </c>
    </row>
    <row r="57" ht="18" customHeight="1" spans="1:2">
      <c r="A57" s="2">
        <v>56</v>
      </c>
      <c r="B57" s="2" t="s">
        <v>768</v>
      </c>
    </row>
    <row r="58" ht="18" customHeight="1" spans="1:2">
      <c r="A58" s="2">
        <v>57</v>
      </c>
      <c r="B58" s="2" t="s">
        <v>768</v>
      </c>
    </row>
    <row r="59" ht="18" customHeight="1" spans="1:2">
      <c r="A59" s="2">
        <v>58</v>
      </c>
      <c r="B59" s="2" t="s">
        <v>768</v>
      </c>
    </row>
    <row r="60" ht="18" customHeight="1" spans="1:2">
      <c r="A60" s="2">
        <v>59</v>
      </c>
      <c r="B60" s="2" t="s">
        <v>769</v>
      </c>
    </row>
    <row r="61" ht="18" customHeight="1" spans="1:2">
      <c r="A61" s="2">
        <v>60</v>
      </c>
      <c r="B61" s="2" t="s">
        <v>769</v>
      </c>
    </row>
    <row r="62" ht="18" customHeight="1" spans="1:2">
      <c r="A62" s="2">
        <v>61</v>
      </c>
      <c r="B62" s="2" t="s">
        <v>769</v>
      </c>
    </row>
    <row r="63" ht="18" customHeight="1" spans="1:2">
      <c r="A63" s="2">
        <v>62</v>
      </c>
      <c r="B63" s="2" t="s">
        <v>769</v>
      </c>
    </row>
    <row r="64" ht="18" customHeight="1" spans="1:2">
      <c r="A64" s="2">
        <v>63</v>
      </c>
      <c r="B64" s="2" t="s">
        <v>770</v>
      </c>
    </row>
    <row r="65" ht="18" customHeight="1" spans="1:2">
      <c r="A65" s="2">
        <v>64</v>
      </c>
      <c r="B65" s="2" t="s">
        <v>770</v>
      </c>
    </row>
    <row r="66" ht="18" customHeight="1" spans="1:2">
      <c r="A66" s="2">
        <v>65</v>
      </c>
      <c r="B66" s="2" t="s">
        <v>770</v>
      </c>
    </row>
    <row r="67" ht="18" customHeight="1" spans="1:2">
      <c r="A67" s="2">
        <v>66</v>
      </c>
      <c r="B67" s="2" t="s">
        <v>770</v>
      </c>
    </row>
    <row r="68" ht="18" customHeight="1" spans="1:2">
      <c r="A68" s="2">
        <v>67</v>
      </c>
      <c r="B68" s="2" t="s">
        <v>771</v>
      </c>
    </row>
    <row r="69" ht="18" customHeight="1" spans="1:2">
      <c r="A69" s="2">
        <v>68</v>
      </c>
      <c r="B69" s="2" t="s">
        <v>771</v>
      </c>
    </row>
    <row r="70" ht="18" customHeight="1" spans="1:2">
      <c r="A70" s="2">
        <v>69</v>
      </c>
      <c r="B70" s="2" t="s">
        <v>771</v>
      </c>
    </row>
    <row r="71" ht="18" customHeight="1" spans="1:2">
      <c r="A71" s="2">
        <v>70</v>
      </c>
      <c r="B71" s="2" t="s">
        <v>771</v>
      </c>
    </row>
    <row r="72" ht="18" customHeight="1" spans="1:2">
      <c r="A72" s="2">
        <v>71</v>
      </c>
      <c r="B72" s="2" t="s">
        <v>772</v>
      </c>
    </row>
    <row r="73" ht="18" customHeight="1" spans="1:2">
      <c r="A73" s="2">
        <v>72</v>
      </c>
      <c r="B73" s="2" t="s">
        <v>772</v>
      </c>
    </row>
    <row r="74" ht="18" customHeight="1" spans="1:2">
      <c r="A74" s="2">
        <v>73</v>
      </c>
      <c r="B74" s="2" t="s">
        <v>772</v>
      </c>
    </row>
    <row r="75" ht="18" customHeight="1" spans="1:2">
      <c r="A75" s="2">
        <v>74</v>
      </c>
      <c r="B75" s="2" t="s">
        <v>772</v>
      </c>
    </row>
    <row r="76" ht="18" customHeight="1" spans="1:2">
      <c r="A76" s="2">
        <v>75</v>
      </c>
      <c r="B76" s="2" t="s">
        <v>773</v>
      </c>
    </row>
    <row r="77" ht="18" customHeight="1" spans="1:2">
      <c r="A77" s="2">
        <v>76</v>
      </c>
      <c r="B77" s="2" t="s">
        <v>773</v>
      </c>
    </row>
    <row r="78" ht="18" customHeight="1" spans="1:2">
      <c r="A78" s="2">
        <v>77</v>
      </c>
      <c r="B78" s="2" t="s">
        <v>773</v>
      </c>
    </row>
    <row r="79" ht="18" customHeight="1" spans="1:2">
      <c r="A79" s="2">
        <v>78</v>
      </c>
      <c r="B79" s="2" t="s">
        <v>773</v>
      </c>
    </row>
    <row r="80" ht="18" customHeight="1" spans="1:2">
      <c r="A80" s="2">
        <v>79</v>
      </c>
      <c r="B80" s="2" t="s">
        <v>773</v>
      </c>
    </row>
    <row r="81" ht="18" customHeight="1" spans="1:2">
      <c r="A81" s="2">
        <v>80</v>
      </c>
      <c r="B81" s="2" t="s">
        <v>774</v>
      </c>
    </row>
    <row r="82" ht="18" customHeight="1" spans="1:2">
      <c r="A82" s="2">
        <v>81</v>
      </c>
      <c r="B82" s="2" t="s">
        <v>774</v>
      </c>
    </row>
    <row r="83" ht="18" customHeight="1" spans="1:2">
      <c r="A83" s="2">
        <v>82</v>
      </c>
      <c r="B83" s="2" t="s">
        <v>774</v>
      </c>
    </row>
    <row r="84" ht="18" customHeight="1" spans="1:2">
      <c r="A84" s="2">
        <v>83</v>
      </c>
      <c r="B84" s="2" t="s">
        <v>774</v>
      </c>
    </row>
    <row r="85" ht="18" customHeight="1" spans="1:2">
      <c r="A85" s="2">
        <v>84</v>
      </c>
      <c r="B85" s="2" t="s">
        <v>774</v>
      </c>
    </row>
    <row r="86" ht="18" customHeight="1" spans="1:2">
      <c r="A86" s="2">
        <v>85</v>
      </c>
      <c r="B86" s="2" t="s">
        <v>774</v>
      </c>
    </row>
    <row r="87" ht="18" customHeight="1" spans="1:2">
      <c r="A87" s="2">
        <v>86</v>
      </c>
      <c r="B87" s="2" t="s">
        <v>775</v>
      </c>
    </row>
    <row r="88" ht="18" customHeight="1" spans="1:2">
      <c r="A88" s="2">
        <v>87</v>
      </c>
      <c r="B88" s="2" t="s">
        <v>775</v>
      </c>
    </row>
    <row r="89" ht="18" customHeight="1" spans="1:2">
      <c r="A89" s="2">
        <v>88</v>
      </c>
      <c r="B89" s="2" t="s">
        <v>775</v>
      </c>
    </row>
    <row r="90" ht="18" customHeight="1" spans="1:2">
      <c r="A90" s="2">
        <v>89</v>
      </c>
      <c r="B90" s="2" t="s">
        <v>775</v>
      </c>
    </row>
    <row r="91" ht="18" customHeight="1" spans="1:2">
      <c r="A91" s="2">
        <v>90</v>
      </c>
      <c r="B91" s="2" t="s">
        <v>775</v>
      </c>
    </row>
    <row r="92" ht="18" customHeight="1" spans="1:2">
      <c r="A92" s="2">
        <v>91</v>
      </c>
      <c r="B92" s="2" t="s">
        <v>776</v>
      </c>
    </row>
    <row r="93" ht="18" customHeight="1" spans="1:2">
      <c r="A93" s="2">
        <v>92</v>
      </c>
      <c r="B93" s="2" t="s">
        <v>776</v>
      </c>
    </row>
    <row r="94" ht="18" customHeight="1" spans="1:2">
      <c r="A94" s="2">
        <v>93</v>
      </c>
      <c r="B94" s="2" t="s">
        <v>776</v>
      </c>
    </row>
    <row r="95" ht="18" customHeight="1" spans="1:2">
      <c r="A95" s="2">
        <v>94</v>
      </c>
      <c r="B95" s="2" t="s">
        <v>776</v>
      </c>
    </row>
    <row r="96" ht="18" customHeight="1" spans="1:2">
      <c r="A96" s="2">
        <v>95</v>
      </c>
      <c r="B96" s="2" t="s">
        <v>777</v>
      </c>
    </row>
    <row r="97" ht="18" customHeight="1" spans="1:2">
      <c r="A97" s="2">
        <v>96</v>
      </c>
      <c r="B97" s="2" t="s">
        <v>777</v>
      </c>
    </row>
    <row r="98" ht="18" customHeight="1" spans="1:2">
      <c r="A98" s="2">
        <v>97</v>
      </c>
      <c r="B98" s="2" t="s">
        <v>777</v>
      </c>
    </row>
    <row r="99" ht="18" customHeight="1" spans="1:2">
      <c r="A99" s="2">
        <v>98</v>
      </c>
      <c r="B99" s="2" t="s">
        <v>778</v>
      </c>
    </row>
    <row r="100" ht="18" customHeight="1" spans="1:2">
      <c r="A100" s="2">
        <v>99</v>
      </c>
      <c r="B100" s="2" t="s">
        <v>778</v>
      </c>
    </row>
    <row r="101" ht="18" customHeight="1" spans="1:2">
      <c r="A101" s="2">
        <v>100</v>
      </c>
      <c r="B101" s="2" t="s">
        <v>779</v>
      </c>
    </row>
  </sheetData>
  <pageMargins left="0.7" right="0.7" top="0.75" bottom="0.75"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7</vt:i4>
      </vt:variant>
    </vt:vector>
  </HeadingPairs>
  <TitlesOfParts>
    <vt:vector size="7" baseType="lpstr">
      <vt:lpstr>人物</vt:lpstr>
      <vt:lpstr>武备</vt:lpstr>
      <vt:lpstr>灵能</vt:lpstr>
      <vt:lpstr>数据导入</vt:lpstr>
      <vt:lpstr>灵能大全</vt:lpstr>
      <vt:lpstr>职业数据</vt:lpstr>
      <vt:lpstr>人物数据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勒 阿</dc:creator>
  <cp:lastModifiedBy>李涛</cp:lastModifiedBy>
  <cp:revision>1</cp:revision>
  <dcterms:created xsi:type="dcterms:W3CDTF">2026-01-28T01:26:00Z</dcterms:created>
  <dcterms:modified xsi:type="dcterms:W3CDTF">2026-06-18T08:02:14Z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E0EC61EAE3D74664A8469EE8F9AE02B0_13</vt:lpwstr>
  </property>
  <property fmtid="{D5CDD505-2E9C-101B-9397-08002B2CF9AE}" pid="4" name="KSOProductBuildVer">
    <vt:lpwstr>2052-12.1.0.26895</vt:lpwstr>
  </property>
  <property fmtid="{D5CDD505-2E9C-101B-9397-08002B2CF9AE}" pid="5" name="KSOReadingLayout">
    <vt:bool>false</vt:bool>
  </property>
</Properties>
</file>