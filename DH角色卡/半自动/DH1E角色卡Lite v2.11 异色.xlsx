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1950" windowHeight="11630" tabRatio="500"/>
  </bookViews>
  <sheets>
    <sheet name="人物" sheetId="1" r:id="rId1"/>
    <sheet name="武备" sheetId="11" r:id="rId2"/>
    <sheet name="灵能" sheetId="14" r:id="rId3"/>
    <sheet name="数据导入" sheetId="4" r:id="rId4"/>
    <sheet name="灵能大全" sheetId="15" r:id="rId5"/>
    <sheet name="职业数据" sheetId="6" state="hidden" r:id="rId6"/>
    <sheet name="人物数据" sheetId="7" state="hidden" r:id="rId7"/>
  </sheets>
  <externalReferences>
    <externalReference r:id="rId8"/>
  </externalReferences>
  <definedNames>
    <definedName name="_xlnm._FilterDatabase" localSheetId="4" hidden="1">灵能大全!$B$2:$B$136</definedName>
    <definedName name="预言">灵能大全!$C$65:$I$74</definedName>
    <definedName name="次级灵能" localSheetId="4">灵能大全!$C$3:$I$50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<sst xmlns="http://schemas.openxmlformats.org/spreadsheetml/2006/main" count="1603" uniqueCount="778">
  <si>
    <t>玩家</t>
  </si>
  <si>
    <t>角色</t>
  </si>
  <si>
    <t>资金</t>
  </si>
  <si>
    <t>启用月工资</t>
  </si>
  <si>
    <t>合计</t>
  </si>
  <si>
    <t>出生</t>
  </si>
  <si>
    <t>生日</t>
  </si>
  <si>
    <t>月</t>
  </si>
  <si>
    <t>日</t>
  </si>
  <si>
    <t>行动经费</t>
  </si>
  <si>
    <t>已用</t>
  </si>
  <si>
    <t>职业</t>
  </si>
  <si>
    <t>等级</t>
  </si>
  <si>
    <t>经验</t>
  </si>
  <si>
    <t>持有</t>
  </si>
  <si>
    <t>其他收入</t>
  </si>
  <si>
    <t>剩余</t>
  </si>
  <si>
    <t>社会阶级</t>
  </si>
  <si>
    <t>月入</t>
  </si>
  <si>
    <t>提升</t>
  </si>
  <si>
    <t>起始资金</t>
  </si>
  <si>
    <t>工资总额</t>
  </si>
  <si>
    <t>预言</t>
  </si>
  <si>
    <t>出目</t>
  </si>
  <si>
    <t>状态</t>
  </si>
  <si>
    <t>身高</t>
  </si>
  <si>
    <t>虹膜</t>
  </si>
  <si>
    <t>整体
形象</t>
  </si>
  <si>
    <t>年龄</t>
  </si>
  <si>
    <t>发型</t>
  </si>
  <si>
    <t>属性情况</t>
  </si>
  <si>
    <t>基础</t>
  </si>
  <si>
    <t>超然</t>
  </si>
  <si>
    <t>备注</t>
  </si>
  <si>
    <t>加成</t>
  </si>
  <si>
    <t>训练</t>
  </si>
  <si>
    <t>花费</t>
  </si>
  <si>
    <t>减值</t>
  </si>
  <si>
    <t>最终</t>
  </si>
  <si>
    <t>加值</t>
  </si>
  <si>
    <t>命
运
点</t>
  </si>
  <si>
    <t>失心</t>
  </si>
  <si>
    <t>堕落</t>
  </si>
  <si>
    <t>角色头像</t>
  </si>
  <si>
    <t>近战 WS</t>
  </si>
  <si>
    <t>远程 BS</t>
  </si>
  <si>
    <t>力量 S</t>
  </si>
  <si>
    <t>坚韧 T</t>
  </si>
  <si>
    <t>敏捷 Ag</t>
  </si>
  <si>
    <t>剩
余</t>
  </si>
  <si>
    <t>智力 Int</t>
  </si>
  <si>
    <t>感知 Per</t>
  </si>
  <si>
    <t>意志 WP</t>
  </si>
  <si>
    <t>交际 Fel</t>
  </si>
  <si>
    <t>承伤和防护情况（简）</t>
  </si>
  <si>
    <t>致命伤情况</t>
  </si>
  <si>
    <t>承伤</t>
  </si>
  <si>
    <t>最终承伤</t>
  </si>
  <si>
    <t>头部 0-1</t>
  </si>
  <si>
    <t>躯干 31-70</t>
  </si>
  <si>
    <t>装备数值</t>
  </si>
  <si>
    <t>头部
0-1</t>
  </si>
  <si>
    <t>右臂
11-20</t>
  </si>
  <si>
    <t>左臂
21-30</t>
  </si>
  <si>
    <t>躯干
31-70</t>
  </si>
  <si>
    <t>右腿
71-85</t>
  </si>
  <si>
    <t>左腿
86-00</t>
  </si>
  <si>
    <t>血肉苦弱</t>
  </si>
  <si>
    <t>右手 11-20</t>
  </si>
  <si>
    <t>左手 21-30</t>
  </si>
  <si>
    <t>额外护甲</t>
  </si>
  <si>
    <t>特殊护甲</t>
  </si>
  <si>
    <t>无</t>
  </si>
  <si>
    <t>左腿 86-00</t>
  </si>
  <si>
    <t>左腿 71-85</t>
  </si>
  <si>
    <t>额外坚韧</t>
  </si>
  <si>
    <t>坚韧加值</t>
  </si>
  <si>
    <t>其他</t>
  </si>
  <si>
    <t>移动</t>
  </si>
  <si>
    <t>部分</t>
  </si>
  <si>
    <t>完整</t>
  </si>
  <si>
    <t>冲锋</t>
  </si>
  <si>
    <t>奔跑</t>
  </si>
  <si>
    <t>每分钟</t>
  </si>
  <si>
    <t>每小时</t>
  </si>
  <si>
    <t>每天</t>
  </si>
  <si>
    <t>负重上限</t>
  </si>
  <si>
    <t>当前负重</t>
  </si>
  <si>
    <t>徒步</t>
  </si>
  <si>
    <t>—</t>
  </si>
  <si>
    <t>参考值</t>
  </si>
  <si>
    <t>SB+TB</t>
  </si>
  <si>
    <t>举起</t>
  </si>
  <si>
    <t>拖拽</t>
  </si>
  <si>
    <t>飞跑</t>
  </si>
  <si>
    <t>——</t>
  </si>
  <si>
    <t>先攻</t>
  </si>
  <si>
    <t>谨小慎微</t>
  </si>
  <si>
    <t>闪电反射</t>
  </si>
  <si>
    <t>巢都出身</t>
  </si>
  <si>
    <t>进阶情况</t>
  </si>
  <si>
    <t>否</t>
  </si>
  <si>
    <t>暂无</t>
  </si>
  <si>
    <t>Rank</t>
  </si>
  <si>
    <t>属性</t>
  </si>
  <si>
    <t>技能</t>
  </si>
  <si>
    <t>天赋</t>
  </si>
  <si>
    <t>经验开销（手动）</t>
  </si>
  <si>
    <t>基础技能</t>
  </si>
  <si>
    <t>名称</t>
  </si>
  <si>
    <t>受训</t>
  </si>
  <si>
    <t>+10</t>
  </si>
  <si>
    <t>+20</t>
  </si>
  <si>
    <t>数值</t>
  </si>
  <si>
    <t>其他加成情况</t>
  </si>
  <si>
    <t>威胁/恐吓</t>
  </si>
  <si>
    <t>S</t>
  </si>
  <si>
    <t>攀爬/运动</t>
  </si>
  <si>
    <t>游泳</t>
  </si>
  <si>
    <t>酗酒/狂欢</t>
  </si>
  <si>
    <t>T</t>
  </si>
  <si>
    <t>躲藏</t>
  </si>
  <si>
    <t>AG</t>
  </si>
  <si>
    <t>闪避</t>
  </si>
  <si>
    <t>潜行</t>
  </si>
  <si>
    <t>估价</t>
  </si>
  <si>
    <t>INT</t>
  </si>
  <si>
    <t>逻辑</t>
  </si>
  <si>
    <t>赌博</t>
  </si>
  <si>
    <t>警觉</t>
  </si>
  <si>
    <t>PER</t>
  </si>
  <si>
    <t>搜查/搜索</t>
  </si>
  <si>
    <t>察言观色</t>
  </si>
  <si>
    <t>交易</t>
  </si>
  <si>
    <t>FEL</t>
  </si>
  <si>
    <t>武器训练</t>
  </si>
  <si>
    <t>欺诈</t>
  </si>
  <si>
    <t>搜集信息</t>
  </si>
  <si>
    <t>格斗</t>
  </si>
  <si>
    <t>伪装</t>
  </si>
  <si>
    <t>手枪</t>
  </si>
  <si>
    <t>吸引</t>
  </si>
  <si>
    <t>重型</t>
  </si>
  <si>
    <t>扯淡</t>
  </si>
  <si>
    <t>特种</t>
  </si>
  <si>
    <t>指挥</t>
  </si>
  <si>
    <t>防护立场（简）</t>
  </si>
  <si>
    <t>影响力天赋</t>
  </si>
  <si>
    <t>防护类型</t>
  </si>
  <si>
    <t>减伤数值</t>
  </si>
  <si>
    <t>完全失效</t>
  </si>
  <si>
    <t>过载</t>
  </si>
  <si>
    <t>持续时间/充能</t>
  </si>
  <si>
    <t>平等待遇</t>
  </si>
  <si>
    <t>有口皆碑</t>
  </si>
  <si>
    <t>护甲、植入物与其他效果</t>
  </si>
  <si>
    <t>详情</t>
  </si>
  <si>
    <t>对手</t>
  </si>
  <si>
    <t>不共戴天</t>
  </si>
  <si>
    <t>高级技能</t>
  </si>
  <si>
    <t>详细情况</t>
  </si>
  <si>
    <t>出身</t>
  </si>
  <si>
    <t>-</t>
  </si>
  <si>
    <t>背景包</t>
  </si>
  <si>
    <t>转职/培训</t>
  </si>
  <si>
    <t>出 身 特 性</t>
  </si>
  <si>
    <t>描述</t>
  </si>
  <si>
    <t>其 余 特 性</t>
  </si>
  <si>
    <t>天 赋 记 录</t>
  </si>
  <si>
    <t>开局内容</t>
  </si>
  <si>
    <t>具体</t>
  </si>
  <si>
    <t>R1</t>
  </si>
  <si>
    <t>R2</t>
  </si>
  <si>
    <t>R3</t>
  </si>
  <si>
    <t>R4</t>
  </si>
  <si>
    <t>R5</t>
  </si>
  <si>
    <t>角色背景</t>
  </si>
  <si>
    <t>近 战 武 器</t>
  </si>
  <si>
    <t>武器名称/类型</t>
  </si>
  <si>
    <t>类型</t>
  </si>
  <si>
    <t>伤害</t>
  </si>
  <si>
    <t>破甲</t>
  </si>
  <si>
    <t>特性</t>
  </si>
  <si>
    <t>重量</t>
  </si>
  <si>
    <t>WS</t>
  </si>
  <si>
    <t>武器升级</t>
  </si>
  <si>
    <t>相关天赋</t>
  </si>
  <si>
    <t>远 程 武 器</t>
  </si>
  <si>
    <t>射程</t>
  </si>
  <si>
    <t>射速</t>
  </si>
  <si>
    <t>BS</t>
  </si>
  <si>
    <t>弹药</t>
  </si>
  <si>
    <t>装填</t>
  </si>
  <si>
    <t>弹 药 和 榴 弹 等</t>
  </si>
  <si>
    <t>弹夹</t>
  </si>
  <si>
    <t>立 场</t>
  </si>
  <si>
    <t>具体效果</t>
  </si>
  <si>
    <t>护 甲 与 装 备</t>
  </si>
  <si>
    <t>物 品</t>
  </si>
  <si>
    <t>基重</t>
  </si>
  <si>
    <t>数量</t>
  </si>
  <si>
    <t>背包</t>
  </si>
  <si>
    <t>同伴</t>
  </si>
  <si>
    <t>种类/型号</t>
  </si>
  <si>
    <t>格斗 WS</t>
  </si>
  <si>
    <t>名字/绰号</t>
  </si>
  <si>
    <t>射击 BS</t>
  </si>
  <si>
    <t>伙伴样貌</t>
  </si>
  <si>
    <t>护甲</t>
  </si>
  <si>
    <t>装备</t>
  </si>
  <si>
    <t>杂物</t>
  </si>
  <si>
    <t>记账</t>
  </si>
  <si>
    <t>总账：</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</si>
  <si>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</si>
  <si>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</si>
  <si>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</si>
  <si>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</si>
  <si>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</si>
  <si>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</si>
  <si>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</si>
  <si>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</si>
  <si>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</si>
  <si>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</si>
  <si>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</si>
  <si>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</si>
  <si>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</si>
  <si>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</si>
  <si>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</si>
  <si>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</si>
  <si>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</si>
  <si>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</si>
  <si>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</si>
  <si>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</si>
  <si>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</si>
  <si>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</si>
  <si>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</si>
  <si>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</si>
  <si>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</si>
  <si>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</si>
  <si>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</si>
  <si>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</si>
  <si>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</si>
  <si>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</si>
  <si>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</si>
  <si>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</si>
  <si>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</si>
  <si>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</si>
  <si>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</si>
  <si>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</si>
  <si>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</si>
  <si>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</si>
  <si>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</si>
  <si>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</si>
  <si>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</si>
  <si>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</si>
  <si>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角色卡导入（泛用）</t>
  </si>
  <si>
    <t>表格制作者</t>
  </si>
  <si>
    <t>右键下格，点击“复制”，并在下方的TXT栏“粘贴”就可以导出文本，然后再选中文本，复制到最上方显示框，然后再剪切进QQ可以避免黏贴的是图片的问题。
也可以直接复制下格，复制进一个TXT文本。</t>
  </si>
  <si>
    <t>排名不分先后</t>
  </si>
  <si>
    <t>勒</t>
  </si>
  <si>
    <t>迮越</t>
  </si>
  <si>
    <t>晨星</t>
  </si>
  <si>
    <t>一壶</t>
  </si>
  <si>
    <t>五三点九</t>
  </si>
  <si>
    <t>IAN</t>
  </si>
  <si>
    <t>浣熊旅記</t>
  </si>
  <si>
    <t>复制上表↑粘贴在这里↓，然后再复制文本</t>
  </si>
  <si>
    <t>更新日志</t>
  </si>
  <si>
    <t>v1.31</t>
  </si>
  <si>
    <t>添加了更多弹药并并入自动化中。
优化了1.3版本更新后，弹药计算总数时只填充数量会导致总数显示错误的bug</t>
  </si>
  <si>
    <t>v1.4</t>
  </si>
  <si>
    <t>添加了机机风味美化，修复了角色卡没有纯洁印记的漏洞
增加了天赋及技能详情速查表，购物表并加入了自动化，添加住宿和医疗表，以及添加了机械神甫晋升表。</t>
  </si>
  <si>
    <t>v2.0</t>
  </si>
  <si>
    <t>在v1.4基础上重构版面；新增同时也删减合并了部分自动化
新增了巫术
为便于区分，半自动轻量版系角色卡以2.x开头</t>
  </si>
  <si>
    <t>v2.1</t>
  </si>
  <si>
    <t>细节优化</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</si>
  <si>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</si>
  <si>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</si>
  <si>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</si>
  <si>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</si>
  <si>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</si>
  <si>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</si>
  <si>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</si>
  <si>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</si>
  <si>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</si>
  <si>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</si>
  <si>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</si>
  <si>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</si>
  <si>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</si>
  <si>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</si>
  <si>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</si>
  <si>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</si>
  <si>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</si>
  <si>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</si>
  <si>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</si>
  <si>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</si>
  <si>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</si>
  <si>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</si>
  <si>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</si>
  <si>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</si>
  <si>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</si>
  <si>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</si>
  <si>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</si>
  <si>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</si>
  <si>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</si>
  <si>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</si>
  <si>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</si>
  <si>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</si>
  <si>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</si>
  <si>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</si>
  <si>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</si>
  <si>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</si>
  <si>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</si>
  <si>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</si>
  <si>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</si>
  <si>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</si>
  <si>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</si>
  <si>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</si>
  <si>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</si>
  <si>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</si>
  <si>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</si>
  <si>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</si>
  <si>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</si>
  <si>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</si>
  <si>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</si>
  <si>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</si>
  <si>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</si>
  <si>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</si>
  <si>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</si>
  <si>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</si>
  <si>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</si>
  <si>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</si>
  <si>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</si>
  <si>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</si>
  <si>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</si>
  <si>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</si>
  <si>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</si>
  <si>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</si>
  <si>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</si>
  <si>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</si>
  <si>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</si>
  <si>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</si>
  <si>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</si>
  <si>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</si>
  <si>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</si>
  <si>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</si>
  <si>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</si>
  <si>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</si>
  <si>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</si>
  <si>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</si>
  <si>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</si>
  <si>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</si>
  <si>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</si>
  <si>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</si>
  <si>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</si>
  <si>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</si>
  <si>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</si>
  <si>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</si>
  <si>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</si>
  <si>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</si>
  <si>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</si>
  <si>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</si>
  <si>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</si>
  <si>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</si>
  <si>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</si>
  <si>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</si>
  <si>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</si>
  <si>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</si>
  <si>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</si>
  <si>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</si>
  <si>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</si>
  <si>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</si>
  <si>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</si>
  <si>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</si>
  <si>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</si>
  <si>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</si>
  <si>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</si>
  <si>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</si>
  <si>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</si>
  <si>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</si>
  <si>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</si>
  <si>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</si>
  <si>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</si>
  <si>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</si>
  <si>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</si>
  <si>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</si>
  <si>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</si>
  <si>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</si>
  <si>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</si>
  <si>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</si>
  <si>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</si>
  <si>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</si>
  <si>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</si>
  <si>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</si>
  <si>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</si>
  <si>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</si>
  <si>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</si>
  <si>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</si>
  <si>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</si>
  <si>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</si>
  <si>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</si>
  <si>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</si>
  <si>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</si>
  <si>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</si>
  <si>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</si>
  <si>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</si>
  <si>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</si>
  <si>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</si>
  <si>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</si>
  <si>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</si>
  <si>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害兽语说</t>
  </si>
  <si>
    <t>灵能者以意念延伸感知，借由附近生物的眼耳去看、与听。施展成功后，灵能者可以看见、听见五十米范围内任一目标所看到、听到的一切。灵能者必须先能察觉到某个生物的存在，然后才能对该目标施展灵能。维持这项灵能期间，灵能者每回合只能进行一个部分动作，因其注意力正被借来的耳目所分散。灵能者可以通过目标生物进行基于感知的检定，具体由游戏主持人裁定，检定使用目标生物的感知属性及其拥有的相关感知技能。
这项灵能无法让灵能者借由目标所不具备的感官去感知。例如，目标没有眼睛则无法视物。同样，灵能者也无法使用目标拥有的特殊感官，例如声呐。
注意：这项灵能不会赋予灵能者对其目标生物的控制权。目标生物将照常行动，并且可能游走出灵能的有效范围，此时灵能将自动终止。目标甚至有可能出于敌意或饥饿而攻击灵能者本人！灵能者可以使用其他灵能（如兽性主宰）来控制目标生物。</t>
  </si>
  <si>
    <t>每超出阈值 5 点，灵能的有效距离增加 10 米。</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</si>
  <si>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</si>
  <si>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</si>
  <si>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</si>
  <si>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</si>
  <si>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</si>
  <si>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</si>
  <si>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</si>
  <si>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</si>
  <si>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</si>
  <si>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</si>
  <si>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</si>
  <si>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</si>
  <si>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</si>
  <si>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</si>
  <si>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</si>
  <si>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</si>
  <si>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</si>
  <si>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</si>
  <si>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</si>
  <si>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</si>
  <si>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</si>
  <si>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</si>
  <si>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</si>
  <si>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</si>
  <si>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</si>
  <si>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</si>
  <si>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</si>
  <si>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</si>
  <si>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</si>
  <si>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</si>
  <si>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</si>
  <si>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</si>
  <si>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</si>
  <si>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</si>
  <si>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</si>
  <si>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</si>
  <si>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</si>
  <si>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</si>
  <si>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</si>
  <si>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</si>
  <si>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</si>
  <si>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</si>
  <si>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</si>
  <si>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</si>
  <si>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</si>
  <si>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</si>
  <si>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</si>
  <si>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</si>
  <si>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</si>
  <si>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</si>
  <si>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</si>
  <si>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</si>
  <si>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</si>
  <si>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</si>
  <si>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</si>
  <si>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</si>
  <si>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</si>
  <si>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</si>
  <si>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</si>
  <si>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</si>
  <si>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</si>
  <si>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</si>
  <si>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</si>
  <si>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</si>
  <si>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</si>
  <si>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</si>
  <si>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</si>
  <si>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</si>
  <si>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</si>
  <si>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</si>
  <si>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</si>
  <si>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</si>
  <si>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</si>
  <si>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</si>
  <si>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</si>
  <si>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</si>
  <si>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</si>
  <si>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</si>
  <si>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</si>
  <si>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</si>
  <si>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</si>
  <si>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</si>
  <si>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</si>
  <si>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</si>
  <si>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</si>
  <si>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</si>
  <si>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</si>
  <si>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</si>
  <si>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</si>
  <si>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</si>
  <si>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</si>
  <si>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</si>
  <si>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</si>
  <si>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</si>
  <si>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</si>
  <si>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</si>
  <si>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</si>
  <si>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</si>
  <si>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</si>
  <si>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</si>
  <si>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</si>
  <si>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</si>
  <si>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</si>
  <si>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</si>
  <si>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</si>
  <si>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</si>
  <si>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</si>
  <si>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</si>
  <si>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</si>
  <si>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</si>
  <si>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</si>
  <si>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</si>
  <si>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</si>
  <si>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</si>
  <si>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</si>
  <si>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</si>
  <si>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</si>
  <si>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</si>
  <si>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</si>
  <si>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</si>
  <si>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</si>
  <si>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</si>
  <si>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</si>
  <si>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</si>
  <si>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</si>
  <si>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</si>
  <si>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</si>
  <si>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</si>
  <si>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</si>
  <si>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</si>
  <si>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</si>
  <si>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</si>
  <si>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</si>
  <si>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</si>
  <si>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</si>
  <si>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</si>
  <si>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</si>
  <si>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</si>
  <si>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</si>
  <si>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</si>
  <si>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</si>
  <si>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</si>
  <si>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</si>
  <si>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</si>
  <si>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</si>
  <si>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</si>
  <si>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</si>
  <si>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</si>
  <si>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</si>
  <si>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</si>
  <si>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</si>
  <si>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</si>
  <si>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</si>
  <si>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</si>
  <si>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</si>
  <si>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野兽盟友</t>
  </si>
  <si>
    <t>灵能者试图彻底支配一头野兽，使其留下铭印（imprint），成为自己的忠实盟友。这项灵能仅可作用于具有野兽特性、承伤少于 20 点，且智力属性至少为 05 的生物，游戏主持人可以酌情增设其他限制。
施展灵能时，灵能者须与目标进行意志检定对抗。若灵能者获胜，野兽会将灵能者视为族群领袖，或同类中的支配者。野兽仍然依本能行动，但会紧伴灵能者左右，并遵从灵能者的传心指令。这项效果是永久性的。然而，若灵能者下达的命令会迫使野兽伤害自己（如步入火中、跳下悬崖等），灵能者必须通过一次艰巨难度（-20）的意志检定。检定成功，野兽遵从指令；反之，野兽将挣脱精神控制。灵能者可支配的野兽数量不得超过其灵能等级。
如果灵能者未能支配该野兽，或野兽挣脱了控制，目标野兽便会扑向灵能者，狂怒地发起进攻，绝不逃跑或退缩。如果灵能者试图再次对该野兽使用这项灵能，目标野兽的意志检定获得 +10 加值。</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</si>
  <si>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</si>
  <si>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</si>
  <si>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</si>
  <si>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</si>
  <si>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</si>
  <si>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</si>
  <si>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</si>
  <si>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</si>
  <si>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</si>
  <si>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</si>
  <si>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</si>
  <si>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</si>
  <si>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</si>
  <si>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</si>
  <si>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</si>
  <si>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</si>
  <si>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</si>
  <si>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</si>
  <si>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</si>
  <si>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</si>
  <si>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</si>
  <si>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</si>
  <si>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</si>
  <si>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</si>
  <si>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</si>
  <si>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</si>
  <si>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</si>
  <si>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</si>
  <si>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</si>
  <si>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</si>
  <si>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</si>
  <si>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</si>
  <si>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</si>
  <si>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</si>
  <si>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</si>
  <si>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</si>
  <si>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</si>
  <si>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</si>
  <si>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</si>
  <si>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</si>
  <si>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</si>
  <si>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</si>
  <si>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</si>
  <si>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</si>
  <si>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</si>
  <si>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</si>
  <si>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</si>
  <si>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</si>
  <si>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</si>
  <si>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</si>
  <si>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</si>
  <si>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</si>
  <si>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</si>
  <si>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</si>
  <si>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</si>
  <si>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</si>
  <si>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</si>
  <si>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</si>
  <si>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</si>
  <si>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</si>
  <si>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</si>
  <si>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</si>
  <si>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</si>
  <si>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</si>
  <si>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</si>
  <si>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</si>
  <si>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</si>
  <si>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</si>
  <si>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</si>
  <si>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</si>
  <si>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</si>
  <si>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</si>
  <si>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</si>
  <si>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</si>
  <si>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</si>
  <si>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</si>
  <si>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</si>
  <si>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</si>
  <si>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</si>
  <si>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生涯职业</t>
  </si>
  <si>
    <t>骰点倍数</t>
  </si>
  <si>
    <t>骰点范围</t>
  </si>
  <si>
    <r>
      <rPr>
        <sz val="11"/>
        <rFont val="黑体"/>
        <charset val="134"/>
      </rPr>
      <t>王座币</t>
    </r>
    <r>
      <rPr>
        <sz val="11"/>
        <rFont val="黑体"/>
        <charset val="134"/>
      </rPr>
      <t>/</t>
    </r>
    <r>
      <rPr>
        <sz val="11"/>
        <rFont val="黑体"/>
        <charset val="134"/>
      </rPr>
      <t>月</t>
    </r>
  </si>
  <si>
    <t>等级提升</t>
  </si>
  <si>
    <t>文研员</t>
  </si>
  <si>
    <t>D10</t>
  </si>
  <si>
    <t>行伍（卫队士兵）</t>
  </si>
  <si>
    <r>
      <rPr>
        <sz val="11"/>
        <color rgb="FF000000"/>
        <rFont val="黑体"/>
        <charset val="134"/>
      </rPr>
      <t>执法者</t>
    </r>
    <r>
      <rPr>
        <sz val="11"/>
        <color rgb="FF000000"/>
        <rFont val="黑体"/>
        <charset val="134"/>
      </rPr>
      <t>/</t>
    </r>
    <r>
      <rPr>
        <sz val="11"/>
        <color rgb="FF000000"/>
        <rFont val="黑体"/>
        <charset val="134"/>
      </rPr>
      <t>法务官</t>
    </r>
  </si>
  <si>
    <t>仆役（法务官、灵能者）</t>
  </si>
  <si>
    <t>杀手</t>
  </si>
  <si>
    <t>学者（文研员）</t>
  </si>
  <si>
    <t>牧师</t>
  </si>
  <si>
    <t>商人（杀手）</t>
  </si>
  <si>
    <t>卫队士兵</t>
  </si>
  <si>
    <t>技术（技术神甫）</t>
  </si>
  <si>
    <t>帝国灵能者</t>
  </si>
  <si>
    <t>D5</t>
  </si>
  <si>
    <t>宗教（牧师）</t>
  </si>
  <si>
    <t>流氓</t>
  </si>
  <si>
    <t>贵族</t>
  </si>
  <si>
    <t>技术神甫</t>
  </si>
  <si>
    <t>战斗修女</t>
  </si>
  <si>
    <t>携带</t>
  </si>
  <si>
    <t>缩写</t>
  </si>
  <si>
    <t>AB</t>
  </si>
  <si>
    <t>部分移动</t>
  </si>
  <si>
    <t>完整移动</t>
  </si>
  <si>
    <t>冲刺</t>
  </si>
  <si>
    <t>体型</t>
  </si>
  <si>
    <t>检定调整</t>
  </si>
  <si>
    <t>起源</t>
  </si>
  <si>
    <t>“外表的变异，揭示着内心的腐化。”
以一个次级变异状态开始游戏。</t>
  </si>
  <si>
    <t>格</t>
  </si>
  <si>
    <t>0.75km</t>
  </si>
  <si>
    <t>7km</t>
  </si>
  <si>
    <t>微小</t>
  </si>
  <si>
    <t>野蛮世界</t>
  </si>
  <si>
    <r>
      <rPr>
        <sz val="12"/>
        <rFont val="黑体"/>
        <charset val="134"/>
      </rPr>
      <t>“只有疯狂者才有成功所需的力量，只有成功者才有权定义何为理智。”以</t>
    </r>
    <r>
      <rPr>
        <sz val="12"/>
        <rFont val="黑体"/>
        <charset val="134"/>
      </rPr>
      <t>2</t>
    </r>
    <r>
      <rPr>
        <sz val="12"/>
        <rFont val="黑体"/>
        <charset val="134"/>
      </rPr>
      <t>点失心点数状态开始游戏。</t>
    </r>
  </si>
  <si>
    <t>射</t>
  </si>
  <si>
    <t>24m</t>
  </si>
  <si>
    <t>1.5km</t>
  </si>
  <si>
    <t>15km</t>
  </si>
  <si>
    <t>超小</t>
  </si>
  <si>
    <t>帝国世界</t>
  </si>
  <si>
    <t>力</t>
  </si>
  <si>
    <t>48m</t>
  </si>
  <si>
    <t>3km</t>
  </si>
  <si>
    <t>30km</t>
  </si>
  <si>
    <t>小型</t>
  </si>
  <si>
    <t>巢都世界</t>
  </si>
  <si>
    <r>
      <rPr>
        <sz val="12"/>
        <rFont val="黑体"/>
        <charset val="134"/>
      </rPr>
      <t>“罪恶越是深藏于内心，越是能够腐化人的一切。”
以</t>
    </r>
    <r>
      <rPr>
        <sz val="12"/>
        <rFont val="黑体"/>
        <charset val="134"/>
      </rPr>
      <t>3</t>
    </r>
    <r>
      <rPr>
        <sz val="12"/>
        <rFont val="黑体"/>
        <charset val="134"/>
      </rPr>
      <t>点堕落点数开始游戏。</t>
    </r>
  </si>
  <si>
    <t>坚</t>
  </si>
  <si>
    <t>72m</t>
  </si>
  <si>
    <t>4km</t>
  </si>
  <si>
    <t>40km</t>
  </si>
  <si>
    <t>中型</t>
  </si>
  <si>
    <t>虚空</t>
  </si>
  <si>
    <t>敏</t>
  </si>
  <si>
    <t>96m</t>
  </si>
  <si>
    <t>6km</t>
  </si>
  <si>
    <t>60km</t>
  </si>
  <si>
    <t>大型</t>
  </si>
  <si>
    <t>铸造世界</t>
  </si>
  <si>
    <t>智</t>
  </si>
  <si>
    <t>120m</t>
  </si>
  <si>
    <t>70km</t>
  </si>
  <si>
    <t>超大</t>
  </si>
  <si>
    <t>被洗脑者</t>
  </si>
  <si>
    <t>感</t>
  </si>
  <si>
    <t>144m</t>
  </si>
  <si>
    <t>9km</t>
  </si>
  <si>
    <t>90km</t>
  </si>
  <si>
    <t>巨大</t>
  </si>
  <si>
    <t>贵族出身</t>
  </si>
  <si>
    <r>
      <rPr>
        <sz val="12"/>
        <rFont val="黑体"/>
        <charset val="134"/>
      </rPr>
      <t>“所谓清白无辜，只是虚妄的假象。”
以</t>
    </r>
    <r>
      <rPr>
        <sz val="12"/>
        <rFont val="黑体"/>
        <charset val="134"/>
      </rPr>
      <t>1</t>
    </r>
    <r>
      <rPr>
        <sz val="12"/>
        <rFont val="黑体"/>
        <charset val="134"/>
      </rPr>
      <t>点失心点和</t>
    </r>
    <r>
      <rPr>
        <sz val="12"/>
        <rFont val="黑体"/>
        <charset val="134"/>
      </rPr>
      <t>1</t>
    </r>
    <r>
      <rPr>
        <sz val="12"/>
        <rFont val="黑体"/>
        <charset val="134"/>
      </rPr>
      <t>点堕落点状态开始游戏。</t>
    </r>
  </si>
  <si>
    <t>意</t>
  </si>
  <si>
    <t>168m</t>
  </si>
  <si>
    <t>10km</t>
  </si>
  <si>
    <t>100km</t>
  </si>
  <si>
    <t>忠嗣学院</t>
  </si>
  <si>
    <r>
      <rPr>
        <sz val="12"/>
        <rFont val="黑体"/>
        <charset val="134"/>
      </rPr>
      <t>“黑暗的迷梦徘徊在心门之内。”
以</t>
    </r>
    <r>
      <rPr>
        <sz val="12"/>
        <rFont val="黑体"/>
        <charset val="134"/>
      </rPr>
      <t>2</t>
    </r>
    <r>
      <rPr>
        <sz val="12"/>
        <rFont val="黑体"/>
        <charset val="134"/>
      </rPr>
      <t>点堕落点数开始游戏。</t>
    </r>
  </si>
  <si>
    <t>交</t>
  </si>
  <si>
    <t>192m</t>
  </si>
  <si>
    <t>12km</t>
  </si>
  <si>
    <t>120km</t>
  </si>
  <si>
    <t>圣殿世界</t>
  </si>
  <si>
    <t>216m</t>
  </si>
  <si>
    <t>13km</t>
  </si>
  <si>
    <t>130km</t>
  </si>
  <si>
    <t>辅秘修会门徒</t>
  </si>
  <si>
    <t>240m</t>
  </si>
  <si>
    <t>14km</t>
  </si>
  <si>
    <t>140km</t>
  </si>
  <si>
    <t>修道院的培养</t>
  </si>
  <si>
    <r>
      <rPr>
        <sz val="12"/>
        <rFont val="黑体"/>
        <charset val="134"/>
      </rPr>
      <t>“与天谴之堕落相比，子弹带来的痛苦无异极乐。”
坚韧</t>
    </r>
    <r>
      <rPr>
        <sz val="12"/>
        <rFont val="黑体"/>
        <charset val="134"/>
      </rPr>
      <t>+1</t>
    </r>
    <r>
      <rPr>
        <sz val="12"/>
        <rFont val="黑体"/>
        <charset val="134"/>
      </rPr>
      <t>。</t>
    </r>
  </si>
  <si>
    <t>卡利西斯战斗舰队</t>
  </si>
  <si>
    <t>黄昏星</t>
  </si>
  <si>
    <r>
      <rPr>
        <sz val="12"/>
        <rFont val="黑体"/>
        <charset val="134"/>
      </rPr>
      <t>炮铜城</t>
    </r>
    <r>
      <rPr>
        <sz val="12"/>
        <rFont val="黑体"/>
        <charset val="134"/>
      </rPr>
      <t>/</t>
    </r>
    <r>
      <rPr>
        <sz val="12"/>
        <rFont val="黑体"/>
        <charset val="134"/>
      </rPr>
      <t>铁灰城</t>
    </r>
  </si>
  <si>
    <t>玛卡贝斯五号</t>
  </si>
  <si>
    <r>
      <rPr>
        <sz val="12"/>
        <rFont val="黑体"/>
        <charset val="134"/>
      </rPr>
      <t>“在外种族异形得以开口欺骗之前将其处死。”
敏捷</t>
    </r>
    <r>
      <rPr>
        <sz val="12"/>
        <rFont val="黑体"/>
        <charset val="134"/>
      </rPr>
      <t>+2</t>
    </r>
    <r>
      <rPr>
        <sz val="12"/>
        <rFont val="黑体"/>
        <charset val="134"/>
      </rPr>
      <t>。</t>
    </r>
  </si>
  <si>
    <t>锡诺菲亚</t>
  </si>
  <si>
    <t>沃尔格芬克斯</t>
  </si>
  <si>
    <t>凋零学院</t>
  </si>
  <si>
    <r>
      <rPr>
        <sz val="12"/>
        <rFont val="黑体"/>
        <charset val="134"/>
      </rPr>
      <t>“所谓事实，不过是一种主观虚饰。”
智力</t>
    </r>
    <r>
      <rPr>
        <sz val="12"/>
        <rFont val="黑体"/>
        <charset val="134"/>
      </rPr>
      <t>+3</t>
    </r>
    <r>
      <rPr>
        <sz val="12"/>
        <rFont val="黑体"/>
        <charset val="134"/>
      </rPr>
      <t>，以</t>
    </r>
    <r>
      <rPr>
        <sz val="12"/>
        <rFont val="黑体"/>
        <charset val="134"/>
      </rPr>
      <t>3</t>
    </r>
    <r>
      <rPr>
        <sz val="12"/>
        <rFont val="黑体"/>
        <charset val="134"/>
      </rPr>
      <t>点堕落点数开始游戏。</t>
    </r>
  </si>
  <si>
    <t>黑暗要塞</t>
  </si>
  <si>
    <t>巢都变种人</t>
  </si>
  <si>
    <t>马尔菲的诅咒血脉</t>
  </si>
  <si>
    <r>
      <rPr>
        <sz val="12"/>
        <rFont val="黑体"/>
        <charset val="134"/>
      </rPr>
      <t>“了解变异者；消灭变异者。”
感知</t>
    </r>
    <r>
      <rPr>
        <sz val="12"/>
        <rFont val="黑体"/>
        <charset val="134"/>
      </rPr>
      <t>+2</t>
    </r>
    <r>
      <rPr>
        <sz val="12"/>
        <rFont val="黑体"/>
        <charset val="134"/>
      </rPr>
      <t>。</t>
    </r>
  </si>
  <si>
    <t>自定义起源</t>
  </si>
  <si>
    <r>
      <rPr>
        <sz val="12"/>
        <rFont val="黑体"/>
        <charset val="134"/>
      </rPr>
      <t>“即使是一无所有的人，依然可以贡献自己的生命。”
力量</t>
    </r>
    <r>
      <rPr>
        <sz val="12"/>
        <rFont val="黑体"/>
        <charset val="134"/>
      </rPr>
      <t>+2</t>
    </r>
    <r>
      <rPr>
        <sz val="12"/>
        <rFont val="黑体"/>
        <charset val="134"/>
      </rPr>
      <t>。</t>
    </r>
  </si>
  <si>
    <t>“如果一项任务值得做，它值得你付出生命。”
得到狂暴天赋。</t>
  </si>
  <si>
    <r>
      <rPr>
        <sz val="12"/>
        <rFont val="黑体"/>
        <charset val="134"/>
      </rPr>
      <t>“只有死亡才是职责终结之时。”
承伤</t>
    </r>
    <r>
      <rPr>
        <sz val="12"/>
        <rFont val="黑体"/>
        <charset val="134"/>
      </rPr>
      <t>+1</t>
    </r>
    <r>
      <rPr>
        <sz val="12"/>
        <rFont val="黑体"/>
        <charset val="134"/>
      </rPr>
      <t>。</t>
    </r>
  </si>
  <si>
    <r>
      <rPr>
        <sz val="12"/>
        <rFont val="黑体"/>
        <charset val="134"/>
      </rPr>
      <t>“没有使命的灵魂将在黑暗之中游荡。”
命运点</t>
    </r>
    <r>
      <rPr>
        <sz val="12"/>
        <rFont val="黑体"/>
        <charset val="134"/>
      </rPr>
      <t>+1</t>
    </r>
    <r>
      <rPr>
        <sz val="12"/>
        <rFont val="黑体"/>
        <charset val="134"/>
      </rPr>
      <t>。</t>
    </r>
  </si>
  <si>
    <r>
      <rPr>
        <sz val="12"/>
        <rFont val="黑体"/>
        <charset val="134"/>
      </rPr>
      <t>“生存的战争之中，没有可以划分在外的平民。”
坚韧</t>
    </r>
    <r>
      <rPr>
        <sz val="12"/>
        <rFont val="黑体"/>
        <charset val="134"/>
      </rPr>
      <t>+2</t>
    </r>
    <r>
      <rPr>
        <sz val="12"/>
        <rFont val="黑体"/>
        <charset val="134"/>
      </rPr>
      <t>，承伤</t>
    </r>
    <r>
      <rPr>
        <sz val="12"/>
        <rFont val="黑体"/>
        <charset val="134"/>
      </rPr>
      <t>+1</t>
    </r>
    <r>
      <rPr>
        <sz val="12"/>
        <rFont val="黑体"/>
        <charset val="134"/>
      </rPr>
      <t>。</t>
    </r>
  </si>
  <si>
    <r>
      <rPr>
        <sz val="12"/>
        <rFont val="黑体"/>
        <charset val="134"/>
      </rPr>
      <t>“暴力可以解决所有问题。”
格斗能力</t>
    </r>
    <r>
      <rPr>
        <sz val="12"/>
        <rFont val="黑体"/>
        <charset val="134"/>
      </rPr>
      <t>+3</t>
    </r>
    <r>
      <rPr>
        <sz val="12"/>
        <rFont val="黑体"/>
        <charset val="134"/>
      </rPr>
      <t>。</t>
    </r>
  </si>
  <si>
    <r>
      <rPr>
        <sz val="12"/>
        <rFont val="黑体"/>
        <charset val="134"/>
      </rPr>
      <t>“战争，乃是人性。”
敏捷</t>
    </r>
    <r>
      <rPr>
        <sz val="12"/>
        <rFont val="黑体"/>
        <charset val="134"/>
      </rPr>
      <t>+3</t>
    </r>
    <r>
      <rPr>
        <sz val="12"/>
        <rFont val="黑体"/>
        <charset val="134"/>
      </rPr>
      <t>。</t>
    </r>
  </si>
  <si>
    <r>
      <rPr>
        <sz val="12"/>
        <rFont val="黑体"/>
        <charset val="134"/>
      </rPr>
      <t>“即使在死亡不可避免的时候，精神也不可退缩。”
意志</t>
    </r>
    <r>
      <rPr>
        <sz val="12"/>
        <rFont val="黑体"/>
        <charset val="134"/>
      </rPr>
      <t>+3</t>
    </r>
    <r>
      <rPr>
        <sz val="12"/>
        <rFont val="黑体"/>
        <charset val="134"/>
      </rPr>
      <t>。</t>
    </r>
  </si>
  <si>
    <r>
      <rPr>
        <sz val="12"/>
        <rFont val="黑体"/>
        <charset val="134"/>
      </rPr>
      <t>“枪炮自然比刀剑强大。”
射击能力</t>
    </r>
    <r>
      <rPr>
        <sz val="12"/>
        <rFont val="黑体"/>
        <charset val="134"/>
      </rPr>
      <t>+3</t>
    </r>
    <r>
      <rPr>
        <sz val="12"/>
        <rFont val="黑体"/>
        <charset val="134"/>
      </rPr>
      <t>。</t>
    </r>
  </si>
  <si>
    <r>
      <rPr>
        <sz val="12"/>
        <rFont val="黑体"/>
        <charset val="134"/>
      </rPr>
      <t>“做你兄弟的福星，敌人的克星。”
交际</t>
    </r>
    <r>
      <rPr>
        <sz val="12"/>
        <rFont val="黑体"/>
        <charset val="134"/>
      </rPr>
      <t>+3</t>
    </r>
    <r>
      <rPr>
        <sz val="12"/>
        <rFont val="黑体"/>
        <charset val="134"/>
      </rPr>
      <t>。</t>
    </r>
  </si>
  <si>
    <r>
      <rPr>
        <sz val="12"/>
        <rFont val="黑体"/>
        <charset val="134"/>
      </rPr>
      <t>“人们牺牲自己，所以人类能够继续存活。”
坚韧</t>
    </r>
    <r>
      <rPr>
        <sz val="12"/>
        <rFont val="黑体"/>
        <charset val="134"/>
      </rPr>
      <t>+3</t>
    </r>
    <r>
      <rPr>
        <sz val="12"/>
        <rFont val="黑体"/>
        <charset val="134"/>
      </rPr>
      <t>。</t>
    </r>
  </si>
  <si>
    <r>
      <rPr>
        <sz val="12"/>
        <rFont val="黑体"/>
        <charset val="134"/>
      </rPr>
      <t>“黑暗之中，追随圣地地球的光芒。”
意志</t>
    </r>
    <r>
      <rPr>
        <sz val="12"/>
        <rFont val="黑体"/>
        <charset val="134"/>
      </rPr>
      <t>+3</t>
    </r>
    <r>
      <rPr>
        <sz val="12"/>
        <rFont val="黑体"/>
        <charset val="134"/>
      </rPr>
      <t>。</t>
    </r>
  </si>
  <si>
    <r>
      <rPr>
        <sz val="12"/>
        <rFont val="黑体"/>
        <charset val="134"/>
      </rPr>
      <t>“唯一值得畏惧的，是死去的时候还没有完成你的任务。”
承伤</t>
    </r>
    <r>
      <rPr>
        <sz val="12"/>
        <rFont val="黑体"/>
        <charset val="134"/>
      </rPr>
      <t>+2</t>
    </r>
    <r>
      <rPr>
        <sz val="12"/>
        <rFont val="黑体"/>
        <charset val="134"/>
      </rPr>
      <t>。</t>
    </r>
  </si>
  <si>
    <r>
      <rPr>
        <sz val="12"/>
        <rFont val="黑体"/>
        <charset val="134"/>
      </rPr>
      <t>“思考引发异端，异端招致叛乱。”
力量</t>
    </r>
    <r>
      <rPr>
        <sz val="12"/>
        <rFont val="黑体"/>
        <charset val="134"/>
      </rPr>
      <t>+3</t>
    </r>
    <r>
      <rPr>
        <sz val="12"/>
        <rFont val="黑体"/>
        <charset val="134"/>
      </rPr>
      <t>。</t>
    </r>
  </si>
  <si>
    <r>
      <rPr>
        <sz val="12"/>
        <rFont val="黑体"/>
        <charset val="134"/>
      </rPr>
      <t>“睿智者从他人的死亡中吸取教训。”
智力</t>
    </r>
    <r>
      <rPr>
        <sz val="12"/>
        <rFont val="黑体"/>
        <charset val="134"/>
      </rPr>
      <t>+3</t>
    </r>
    <r>
      <rPr>
        <sz val="12"/>
        <rFont val="黑体"/>
        <charset val="134"/>
      </rPr>
      <t>。</t>
    </r>
  </si>
  <si>
    <r>
      <rPr>
        <sz val="12"/>
        <rFont val="黑体"/>
        <charset val="134"/>
      </rPr>
      <t>“猜忌多疑的心智是健康的心智。”
感知</t>
    </r>
    <r>
      <rPr>
        <sz val="12"/>
        <rFont val="黑体"/>
        <charset val="134"/>
      </rPr>
      <t>+3</t>
    </r>
    <r>
      <rPr>
        <sz val="12"/>
        <rFont val="黑体"/>
        <charset val="134"/>
      </rPr>
      <t>。</t>
    </r>
  </si>
  <si>
    <r>
      <rPr>
        <sz val="12"/>
        <rFont val="黑体"/>
        <charset val="134"/>
      </rPr>
      <t>“相信你的恐惧。”
敏捷</t>
    </r>
    <r>
      <rPr>
        <sz val="12"/>
        <rFont val="黑体"/>
        <charset val="134"/>
      </rPr>
      <t>+2</t>
    </r>
    <r>
      <rPr>
        <sz val="12"/>
        <rFont val="黑体"/>
        <charset val="134"/>
      </rPr>
      <t>，命运点</t>
    </r>
    <r>
      <rPr>
        <sz val="12"/>
        <rFont val="黑体"/>
        <charset val="134"/>
      </rPr>
      <t>+1</t>
    </r>
    <r>
      <rPr>
        <sz val="12"/>
        <rFont val="黑体"/>
        <charset val="134"/>
      </rPr>
      <t>。</t>
    </r>
  </si>
  <si>
    <r>
      <rPr>
        <sz val="12"/>
        <rFont val="黑体"/>
        <charset val="134"/>
      </rPr>
      <t>“狂热，无可替代。”
坚韧</t>
    </r>
    <r>
      <rPr>
        <sz val="12"/>
        <rFont val="黑体"/>
        <charset val="134"/>
      </rPr>
      <t>+2</t>
    </r>
    <r>
      <rPr>
        <sz val="12"/>
        <rFont val="黑体"/>
        <charset val="134"/>
      </rPr>
      <t>，意志</t>
    </r>
    <r>
      <rPr>
        <sz val="12"/>
        <rFont val="黑体"/>
        <charset val="134"/>
      </rPr>
      <t>+2</t>
    </r>
    <r>
      <rPr>
        <sz val="12"/>
        <rFont val="黑体"/>
        <charset val="134"/>
      </rPr>
      <t>。</t>
    </r>
  </si>
  <si>
    <r>
      <rPr>
        <sz val="12"/>
        <rFont val="黑体"/>
        <charset val="134"/>
      </rPr>
      <t>“不要问为什么尽职，只问怎样去做。”
格斗能力</t>
    </r>
    <r>
      <rPr>
        <sz val="12"/>
        <rFont val="黑体"/>
        <charset val="134"/>
      </rPr>
      <t>+2</t>
    </r>
    <r>
      <rPr>
        <sz val="12"/>
        <rFont val="黑体"/>
        <charset val="134"/>
      </rPr>
      <t>，射击能力</t>
    </r>
    <r>
      <rPr>
        <sz val="12"/>
        <rFont val="黑体"/>
        <charset val="134"/>
      </rPr>
      <t>+2</t>
    </r>
    <r>
      <rPr>
        <sz val="12"/>
        <rFont val="黑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</si>
</sst>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_);_(@_)"/>
    <numFmt numFmtId="177" formatCode="0_ "/>
  </numFmts>
  <fonts count="41">
    <font>
      <sz val="11"/>
      <name val="等线"/>
      <charset val="134"/>
    </font>
    <font>
      <sz val="12"/>
      <name val="黑体"/>
      <charset val="134"/>
    </font>
    <font>
      <sz val="11"/>
      <name val="黑体"/>
      <charset val="134"/>
    </font>
    <font>
      <sz val="11"/>
      <color rgb="FF000000"/>
      <name val="黑体"/>
      <charset val="134"/>
    </font>
    <font>
      <sz val="12"/>
      <color theme="1"/>
      <name val="黑体"/>
      <charset val="134"/>
    </font>
    <font>
      <sz val="12"/>
      <color theme="0"/>
      <name val="黑体"/>
      <charset val="134"/>
    </font>
    <font>
      <b/>
      <sz val="12"/>
      <color theme="1"/>
      <name val="黑体"/>
      <charset val="134"/>
    </font>
    <font>
      <sz val="12"/>
      <color rgb="FFFFFFFF"/>
      <name val="黑体"/>
      <charset val="134"/>
    </font>
    <font>
      <sz val="11"/>
      <color rgb="FFFFFFFF"/>
      <name val="黑体"/>
      <charset val="134"/>
    </font>
    <font>
      <sz val="12"/>
      <color rgb="FF282828"/>
      <name val="黑体"/>
      <charset val="134"/>
    </font>
    <font>
      <sz val="12"/>
      <color rgb="FF000000"/>
      <name val="黑体"/>
      <charset val="134"/>
    </font>
    <font>
      <sz val="12"/>
      <name val="等线"/>
      <charset val="134"/>
    </font>
    <font>
      <sz val="10"/>
      <color theme="0"/>
      <name val="黑体"/>
      <charset val="134"/>
    </font>
    <font>
      <b/>
      <sz val="12"/>
      <color rgb="FFFFFFFF"/>
      <name val="黑体"/>
      <charset val="134"/>
    </font>
    <font>
      <sz val="12"/>
      <color rgb="FFFF0000"/>
      <name val="黑体"/>
      <charset val="134"/>
    </font>
    <font>
      <b/>
      <sz val="12"/>
      <color rgb="FF282828"/>
      <name val="黑体"/>
      <charset val="134"/>
    </font>
    <font>
      <sz val="12"/>
      <name val="黑体"/>
      <charset val="1"/>
    </font>
    <font>
      <sz val="12"/>
      <color rgb="FFC00000"/>
      <name val="黑体"/>
      <charset val="134"/>
    </font>
    <font>
      <sz val="11"/>
      <color rgb="FF000000"/>
      <name val="等线"/>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宋体"/>
      <charset val="134"/>
    </font>
  </fonts>
  <fills count="55">
    <fill>
      <patternFill patternType="none"/>
    </fill>
    <fill>
      <patternFill patternType="gray125"/>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282828"/>
        <bgColor rgb="FF121316"/>
      </patternFill>
    </fill>
    <fill>
      <patternFill patternType="solid">
        <fgColor rgb="FF44546A"/>
        <bgColor rgb="FF595959"/>
      </patternFill>
    </fill>
    <fill>
      <patternFill patternType="solid">
        <fgColor rgb="FF8497B0"/>
        <bgColor rgb="FF8B8B8B"/>
      </patternFill>
    </fill>
    <fill>
      <patternFill patternType="solid">
        <fgColor rgb="FFFEFDFB"/>
        <bgColor rgb="FFD9D9D9"/>
      </patternFill>
    </fill>
    <fill>
      <patternFill patternType="solid">
        <fgColor rgb="FF282828"/>
        <bgColor indexed="64"/>
      </patternFill>
    </fill>
    <fill>
      <patternFill patternType="solid">
        <fgColor rgb="FFFEFDFB"/>
        <bgColor rgb="FFF2F2F2"/>
      </patternFill>
    </fill>
    <fill>
      <patternFill patternType="solid">
        <fgColor rgb="FF662B2B"/>
        <bgColor rgb="FF595959"/>
      </patternFill>
    </fill>
    <fill>
      <patternFill patternType="solid">
        <fgColor rgb="FF662B2B"/>
        <bgColor rgb="FF404040"/>
      </patternFill>
    </fill>
    <fill>
      <patternFill patternType="solid">
        <fgColor rgb="FFD9CEC2"/>
        <bgColor rgb="FF8B8B8B"/>
      </patternFill>
    </fill>
    <fill>
      <patternFill patternType="solid">
        <fgColor rgb="FFD9CEC2"/>
        <bgColor rgb="FFA6A6A6"/>
      </patternFill>
    </fill>
    <fill>
      <patternFill patternType="solid">
        <fgColor rgb="FFEBEAE4"/>
        <bgColor rgb="FFD9D9D9"/>
      </patternFill>
    </fill>
    <fill>
      <patternFill patternType="solid">
        <fgColor rgb="FFFEFDFB"/>
        <bgColor rgb="FF121316"/>
      </patternFill>
    </fill>
    <fill>
      <patternFill patternType="solid">
        <fgColor rgb="FFEBEAE4"/>
        <bgColor rgb="FFF2F2F2"/>
      </patternFill>
    </fill>
    <fill>
      <patternFill patternType="solid">
        <fgColor rgb="FFD9CEC2"/>
        <bgColor rgb="FFD9D9D9"/>
      </patternFill>
    </fill>
    <fill>
      <patternFill patternType="solid">
        <fgColor rgb="FF000000"/>
        <bgColor rgb="FF121316"/>
      </patternFill>
    </fill>
    <fill>
      <patternFill patternType="solid">
        <fgColor theme="1"/>
        <bgColor rgb="FF121316"/>
      </patternFill>
    </fill>
    <fill>
      <patternFill patternType="solid">
        <fgColor theme="1"/>
        <bgColor rgb="FFF2F2F2"/>
      </patternFill>
    </fill>
    <fill>
      <patternFill patternType="solid">
        <fgColor rgb="FFEBEAE4"/>
        <bgColor rgb="FFA6A6A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282828"/>
      </left>
      <right style="thin">
        <color rgb="FF282828"/>
      </right>
      <top style="thin">
        <color rgb="FF282828"/>
      </top>
      <bottom style="thin">
        <color rgb="FF282828"/>
      </bottom>
      <diagonal/>
    </border>
    <border>
      <left/>
      <right style="thin">
        <color rgb="FF282828"/>
      </right>
      <top style="thin">
        <color rgb="FF282828"/>
      </top>
      <bottom style="thin">
        <color rgb="FF282828"/>
      </bottom>
      <diagonal/>
    </border>
    <border>
      <left/>
      <right/>
      <top style="thin">
        <color rgb="FF282828"/>
      </top>
      <bottom style="thin">
        <color rgb="FF282828"/>
      </bottom>
      <diagonal/>
    </border>
    <border>
      <left style="thin">
        <color rgb="FF282828"/>
      </left>
      <right style="thin">
        <color rgb="FF282828"/>
      </right>
      <top style="thin">
        <color rgb="FF282828"/>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right/>
      <top/>
      <bottom style="thin">
        <color auto="1"/>
      </bottom>
      <diagonal/>
    </border>
    <border>
      <left style="thin">
        <color auto="1"/>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rgb="FF282828"/>
      </left>
      <right/>
      <top style="thin">
        <color rgb="FF282828"/>
      </top>
      <bottom style="thin">
        <color rgb="FF282828"/>
      </bottom>
      <diagonal/>
    </border>
    <border>
      <left style="thin">
        <color rgb="FF282828"/>
      </left>
      <right/>
      <top style="thin">
        <color rgb="FF282828"/>
      </top>
      <bottom/>
      <diagonal/>
    </border>
    <border>
      <left/>
      <right/>
      <top style="thin">
        <color rgb="FF282828"/>
      </top>
      <bottom/>
      <diagonal/>
    </border>
    <border>
      <left/>
      <right style="thin">
        <color rgb="FF282828"/>
      </right>
      <top style="thin">
        <color rgb="FF282828"/>
      </top>
      <bottom/>
      <diagonal/>
    </border>
    <border>
      <left style="thin">
        <color rgb="FF282828"/>
      </left>
      <right/>
      <top/>
      <bottom style="thin">
        <color rgb="FF282828"/>
      </bottom>
      <diagonal/>
    </border>
    <border>
      <left/>
      <right/>
      <top/>
      <bottom style="thin">
        <color rgb="FF282828"/>
      </bottom>
      <diagonal/>
    </border>
    <border>
      <left/>
      <right style="thin">
        <color rgb="FF282828"/>
      </right>
      <top/>
      <bottom style="thin">
        <color rgb="FF282828"/>
      </bottom>
      <diagonal/>
    </border>
    <border>
      <left style="thin">
        <color rgb="FF282828"/>
      </left>
      <right/>
      <top/>
      <bottom/>
      <diagonal/>
    </border>
    <border>
      <left/>
      <right style="thin">
        <color rgb="FF282828"/>
      </right>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18" fillId="0" borderId="0">
      <alignment vertical="top"/>
      <protection locked="0"/>
    </xf>
    <xf numFmtId="44" fontId="19" fillId="0" borderId="0" applyBorder="0" applyAlignment="0" applyProtection="0"/>
    <xf numFmtId="9" fontId="19" fillId="0" borderId="0" applyBorder="0" applyAlignment="0" applyProtection="0"/>
    <xf numFmtId="41" fontId="19" fillId="0" borderId="0" applyBorder="0" applyAlignment="0" applyProtection="0"/>
    <xf numFmtId="42" fontId="19" fillId="0" borderId="0" applyBorder="0" applyAlignment="0" applyProtection="0"/>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4" borderId="37"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8" applyNumberFormat="0" applyFill="0" applyAlignment="0" applyProtection="0">
      <alignment vertical="center"/>
    </xf>
    <xf numFmtId="0" fontId="27" fillId="0" borderId="38" applyNumberFormat="0" applyFill="0" applyAlignment="0" applyProtection="0">
      <alignment vertical="center"/>
    </xf>
    <xf numFmtId="0" fontId="28" fillId="0" borderId="39" applyNumberFormat="0" applyFill="0" applyAlignment="0" applyProtection="0">
      <alignment vertical="center"/>
    </xf>
    <xf numFmtId="0" fontId="28" fillId="0" borderId="0" applyNumberFormat="0" applyFill="0" applyBorder="0" applyAlignment="0" applyProtection="0">
      <alignment vertical="center"/>
    </xf>
    <xf numFmtId="0" fontId="29" fillId="25" borderId="40" applyNumberFormat="0" applyAlignment="0" applyProtection="0">
      <alignment vertical="center"/>
    </xf>
    <xf numFmtId="0" fontId="30" fillId="26" borderId="41" applyNumberFormat="0" applyAlignment="0" applyProtection="0">
      <alignment vertical="center"/>
    </xf>
    <xf numFmtId="0" fontId="31" fillId="26" borderId="40" applyNumberFormat="0" applyAlignment="0" applyProtection="0">
      <alignment vertical="center"/>
    </xf>
    <xf numFmtId="0" fontId="32" fillId="27" borderId="42" applyNumberFormat="0" applyAlignment="0" applyProtection="0">
      <alignment vertical="center"/>
    </xf>
    <xf numFmtId="0" fontId="33" fillId="0" borderId="43" applyNumberFormat="0" applyFill="0" applyAlignment="0" applyProtection="0">
      <alignment vertical="center"/>
    </xf>
    <xf numFmtId="0" fontId="34" fillId="0" borderId="44" applyNumberFormat="0" applyFill="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8" fillId="38" borderId="0" applyNumberFormat="0" applyBorder="0" applyAlignment="0" applyProtection="0">
      <alignment vertical="center"/>
    </xf>
    <xf numFmtId="0" fontId="38" fillId="39" borderId="0" applyNumberFormat="0" applyBorder="0" applyAlignment="0" applyProtection="0">
      <alignment vertical="center"/>
    </xf>
    <xf numFmtId="0" fontId="39" fillId="40" borderId="0" applyNumberFormat="0" applyBorder="0" applyAlignment="0" applyProtection="0">
      <alignment vertical="center"/>
    </xf>
    <xf numFmtId="0" fontId="39" fillId="41" borderId="0" applyNumberFormat="0" applyBorder="0" applyAlignment="0" applyProtection="0">
      <alignment vertical="center"/>
    </xf>
    <xf numFmtId="0" fontId="38" fillId="42" borderId="0" applyNumberFormat="0" applyBorder="0" applyAlignment="0" applyProtection="0">
      <alignment vertical="center"/>
    </xf>
    <xf numFmtId="0" fontId="38" fillId="43" borderId="0" applyNumberFormat="0" applyBorder="0" applyAlignment="0" applyProtection="0">
      <alignment vertical="center"/>
    </xf>
    <xf numFmtId="0" fontId="39" fillId="44" borderId="0" applyNumberFormat="0" applyBorder="0" applyAlignment="0" applyProtection="0">
      <alignment vertical="center"/>
    </xf>
    <xf numFmtId="0" fontId="39" fillId="45" borderId="0" applyNumberFormat="0" applyBorder="0" applyAlignment="0" applyProtection="0">
      <alignment vertical="center"/>
    </xf>
    <xf numFmtId="0" fontId="38" fillId="46" borderId="0" applyNumberFormat="0" applyBorder="0" applyAlignment="0" applyProtection="0">
      <alignment vertical="center"/>
    </xf>
    <xf numFmtId="0" fontId="38" fillId="47" borderId="0" applyNumberFormat="0" applyBorder="0" applyAlignment="0" applyProtection="0">
      <alignment vertical="center"/>
    </xf>
    <xf numFmtId="0" fontId="39" fillId="48" borderId="0" applyNumberFormat="0" applyBorder="0" applyAlignment="0" applyProtection="0">
      <alignment vertical="center"/>
    </xf>
    <xf numFmtId="0" fontId="39" fillId="49" borderId="0" applyNumberFormat="0" applyBorder="0" applyAlignment="0" applyProtection="0">
      <alignment vertical="center"/>
    </xf>
    <xf numFmtId="0" fontId="38" fillId="50" borderId="0" applyNumberFormat="0" applyBorder="0" applyAlignment="0" applyProtection="0">
      <alignment vertical="center"/>
    </xf>
    <xf numFmtId="0" fontId="38" fillId="51"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pplyNumberFormat="0" applyBorder="0" applyAlignment="0" applyProtection="0">
      <alignment vertical="center"/>
    </xf>
    <xf numFmtId="0" fontId="38" fillId="54" borderId="0" applyNumberFormat="0" applyBorder="0" applyAlignment="0" applyProtection="0">
      <alignment vertical="center"/>
    </xf>
    <xf numFmtId="0" fontId="40" fillId="0" borderId="0">
      <protection locked="0"/>
    </xf>
  </cellStyleXfs>
  <cellXfs count="192">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xf numFmtId="0" fontId="2" fillId="0" borderId="0" xfId="0" applyFont="1">
      <alignment vertical="center"/>
    </xf>
    <xf numFmtId="0" fontId="2" fillId="0" borderId="0" xfId="0" applyFont="1" applyAlignment="1">
      <alignment vertical="center"/>
    </xf>
    <xf numFmtId="0" fontId="3" fillId="0" borderId="5" xfId="0" applyFont="1" applyBorder="1" applyAlignment="1">
      <alignment vertical="center"/>
    </xf>
    <xf numFmtId="0" fontId="1"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1" fillId="4" borderId="5" xfId="0" applyFont="1" applyFill="1" applyBorder="1" applyAlignment="1">
      <alignment horizontal="center" vertical="center"/>
    </xf>
    <xf numFmtId="0" fontId="5"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2" borderId="5" xfId="0" applyFont="1" applyFill="1" applyBorder="1" applyAlignment="1">
      <alignment horizontal="center" vertical="center"/>
    </xf>
    <xf numFmtId="0" fontId="6" fillId="3" borderId="5" xfId="0" applyNumberFormat="1" applyFont="1" applyFill="1" applyBorder="1" applyAlignment="1" applyProtection="1">
      <alignment horizontal="center" vertical="center"/>
    </xf>
    <xf numFmtId="0" fontId="5" fillId="2" borderId="5" xfId="0" applyNumberFormat="1" applyFont="1" applyFill="1" applyBorder="1" applyAlignment="1" applyProtection="1">
      <alignment horizontal="center" vertical="center"/>
    </xf>
    <xf numFmtId="0" fontId="4" fillId="5"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wrapText="1"/>
    </xf>
    <xf numFmtId="0" fontId="2" fillId="3" borderId="0" xfId="0" applyFont="1" applyFill="1">
      <alignment vertical="center"/>
    </xf>
    <xf numFmtId="0" fontId="7" fillId="2" borderId="5" xfId="0" applyFont="1" applyFill="1" applyBorder="1" applyAlignment="1">
      <alignment horizontal="center" vertical="center"/>
    </xf>
    <xf numFmtId="0" fontId="8" fillId="3" borderId="0" xfId="0" applyFont="1" applyFill="1" applyAlignment="1">
      <alignment horizontal="center" vertical="center"/>
    </xf>
    <xf numFmtId="0" fontId="9" fillId="5"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2" fillId="5" borderId="5" xfId="0" applyFont="1" applyFill="1" applyBorder="1" applyAlignment="1">
      <alignment horizontal="center" vertical="center"/>
    </xf>
    <xf numFmtId="0" fontId="2" fillId="3" borderId="5" xfId="0" applyFont="1" applyFill="1" applyBorder="1" applyAlignment="1">
      <alignment horizontal="center" vertical="center"/>
    </xf>
    <xf numFmtId="0" fontId="10" fillId="3" borderId="5" xfId="0" applyFont="1" applyFill="1" applyBorder="1" applyAlignment="1">
      <alignment horizontal="left" vertical="center" wrapText="1"/>
    </xf>
    <xf numFmtId="0" fontId="8" fillId="2" borderId="0" xfId="0" applyFont="1" applyFill="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3" xfId="0" applyFont="1" applyFill="1" applyBorder="1" applyAlignment="1">
      <alignment horizontal="center" vertical="center"/>
    </xf>
    <xf numFmtId="0" fontId="1" fillId="3" borderId="0" xfId="0" applyFont="1" applyFill="1" applyBorder="1">
      <alignment vertical="center"/>
    </xf>
    <xf numFmtId="0" fontId="0" fillId="3" borderId="0" xfId="0" applyFill="1" applyBorder="1">
      <alignment vertical="center"/>
    </xf>
    <xf numFmtId="0" fontId="11" fillId="3" borderId="0" xfId="0" applyFont="1" applyFill="1" applyBorder="1">
      <alignment vertical="center"/>
    </xf>
    <xf numFmtId="0" fontId="10" fillId="6" borderId="15" xfId="0" applyFont="1" applyFill="1" applyBorder="1" applyAlignment="1" applyProtection="1">
      <alignment horizontal="center" vertical="center"/>
      <protection hidden="1"/>
    </xf>
    <xf numFmtId="0" fontId="5" fillId="2" borderId="15" xfId="49" applyFont="1" applyFill="1" applyBorder="1" applyAlignment="1" applyProtection="1">
      <alignment horizontal="center" vertical="center"/>
    </xf>
    <xf numFmtId="0" fontId="5" fillId="7" borderId="15" xfId="49" applyFont="1" applyFill="1" applyBorder="1" applyAlignment="1" applyProtection="1">
      <alignment horizontal="center" vertical="center"/>
    </xf>
    <xf numFmtId="0" fontId="1" fillId="5" borderId="15" xfId="49" applyFont="1" applyFill="1" applyBorder="1" applyAlignment="1" applyProtection="1">
      <alignment horizontal="center" vertical="center"/>
    </xf>
    <xf numFmtId="0" fontId="1" fillId="8" borderId="15" xfId="49" applyFont="1" applyFill="1" applyBorder="1" applyAlignment="1" applyProtection="1">
      <alignment horizontal="center" vertical="center"/>
    </xf>
    <xf numFmtId="0" fontId="1" fillId="3" borderId="15" xfId="49" applyFont="1" applyFill="1" applyBorder="1" applyAlignment="1" applyProtection="1">
      <alignment horizontal="center" vertical="center"/>
    </xf>
    <xf numFmtId="0" fontId="1" fillId="3" borderId="15" xfId="0" applyFont="1" applyFill="1" applyBorder="1" applyAlignment="1">
      <alignment horizontal="center" vertical="center"/>
    </xf>
    <xf numFmtId="0" fontId="1" fillId="4" borderId="15" xfId="49" applyFont="1" applyFill="1" applyBorder="1" applyAlignment="1" applyProtection="1">
      <alignment horizontal="center" vertical="center"/>
    </xf>
    <xf numFmtId="0" fontId="1" fillId="9" borderId="15" xfId="49" applyFont="1" applyFill="1" applyBorder="1" applyAlignment="1" applyProtection="1">
      <alignment horizontal="center" vertical="center"/>
    </xf>
    <xf numFmtId="0" fontId="1" fillId="3" borderId="15" xfId="0" applyFont="1" applyFill="1" applyBorder="1" applyAlignment="1">
      <alignment horizontal="center" vertical="center" wrapText="1"/>
    </xf>
    <xf numFmtId="0" fontId="12" fillId="6" borderId="15" xfId="0" applyFont="1" applyFill="1" applyBorder="1" applyAlignment="1" applyProtection="1">
      <alignment horizontal="left" vertical="center"/>
      <protection hidden="1"/>
    </xf>
    <xf numFmtId="0" fontId="4" fillId="3" borderId="15" xfId="0" applyFont="1" applyFill="1" applyBorder="1" applyAlignment="1">
      <alignment horizontal="center" vertical="center" wrapText="1"/>
    </xf>
    <xf numFmtId="0" fontId="4" fillId="3" borderId="15" xfId="0" applyFont="1" applyFill="1" applyBorder="1" applyAlignment="1">
      <alignment horizontal="left" vertical="top" wrapText="1"/>
    </xf>
    <xf numFmtId="0" fontId="1" fillId="3" borderId="15" xfId="0" applyFont="1" applyFill="1" applyBorder="1" applyAlignment="1">
      <alignment horizontal="left" vertical="center" wrapText="1"/>
    </xf>
    <xf numFmtId="0" fontId="9" fillId="6" borderId="15" xfId="0" applyFont="1" applyFill="1" applyBorder="1" applyAlignment="1" applyProtection="1">
      <alignment horizontal="center" vertical="center"/>
      <protection hidden="1"/>
    </xf>
    <xf numFmtId="0" fontId="5" fillId="6" borderId="15" xfId="0" applyFont="1" applyFill="1" applyBorder="1" applyAlignment="1" applyProtection="1">
      <alignment horizontal="left" vertical="center"/>
      <protection hidden="1"/>
    </xf>
    <xf numFmtId="0" fontId="0" fillId="3" borderId="0" xfId="0" applyFill="1" applyAlignment="1">
      <alignment horizontal="center" vertical="center"/>
    </xf>
    <xf numFmtId="0" fontId="1" fillId="3" borderId="0" xfId="0" applyFont="1" applyFill="1" applyAlignment="1">
      <alignment horizontal="center" vertical="center"/>
    </xf>
    <xf numFmtId="0" fontId="10" fillId="10" borderId="15" xfId="0" applyFont="1" applyFill="1" applyBorder="1" applyAlignment="1">
      <alignment horizontal="center" vertical="center"/>
    </xf>
    <xf numFmtId="0" fontId="5" fillId="10" borderId="15" xfId="0" applyFont="1" applyFill="1" applyBorder="1" applyAlignment="1">
      <alignment horizontal="center" vertical="center"/>
    </xf>
    <xf numFmtId="0" fontId="5" fillId="2" borderId="15" xfId="0" applyFont="1" applyFill="1" applyBorder="1" applyAlignment="1">
      <alignment horizontal="center" vertical="center"/>
    </xf>
    <xf numFmtId="0" fontId="4" fillId="5" borderId="15" xfId="0" applyFont="1" applyFill="1" applyBorder="1" applyAlignment="1">
      <alignment horizontal="center" vertical="center" wrapText="1"/>
    </xf>
    <xf numFmtId="0" fontId="1" fillId="5" borderId="15" xfId="0" applyFont="1" applyFill="1" applyBorder="1" applyAlignment="1">
      <alignment horizontal="center" vertical="center"/>
    </xf>
    <xf numFmtId="0" fontId="4" fillId="5" borderId="15" xfId="0" applyFont="1" applyFill="1" applyBorder="1" applyAlignment="1">
      <alignment horizontal="center" vertical="center"/>
    </xf>
    <xf numFmtId="0" fontId="7" fillId="2" borderId="15" xfId="0" applyFont="1" applyFill="1" applyBorder="1" applyAlignment="1">
      <alignment horizontal="center" vertical="center"/>
    </xf>
    <xf numFmtId="0" fontId="10" fillId="5" borderId="15" xfId="0" applyFont="1" applyFill="1" applyBorder="1" applyAlignment="1">
      <alignment horizontal="center" vertical="center"/>
    </xf>
    <xf numFmtId="9" fontId="1" fillId="3" borderId="15" xfId="0" applyNumberFormat="1" applyFont="1" applyFill="1" applyBorder="1" applyAlignment="1">
      <alignment horizontal="center" vertical="center"/>
    </xf>
    <xf numFmtId="0" fontId="1" fillId="10" borderId="15" xfId="0" applyFont="1" applyFill="1" applyBorder="1" applyAlignment="1">
      <alignment horizontal="center" vertical="center"/>
    </xf>
    <xf numFmtId="0" fontId="9" fillId="5" borderId="15" xfId="0" applyFont="1" applyFill="1" applyBorder="1" applyAlignment="1">
      <alignment horizontal="center" vertical="center" wrapText="1"/>
    </xf>
    <xf numFmtId="0" fontId="10" fillId="3" borderId="15" xfId="0" applyFont="1" applyFill="1" applyBorder="1" applyAlignment="1">
      <alignment horizontal="center" vertical="center"/>
    </xf>
    <xf numFmtId="0" fontId="7" fillId="2" borderId="15" xfId="0" applyFont="1" applyFill="1" applyBorder="1" applyAlignment="1">
      <alignment horizontal="center" vertical="center" wrapText="1"/>
    </xf>
    <xf numFmtId="0" fontId="1" fillId="4" borderId="15" xfId="0" applyFont="1" applyFill="1" applyBorder="1" applyAlignment="1">
      <alignment horizontal="center" vertical="center"/>
    </xf>
    <xf numFmtId="0" fontId="13" fillId="5" borderId="15" xfId="0" applyFont="1" applyFill="1" applyBorder="1" applyAlignment="1">
      <alignment horizontal="center" vertical="center"/>
    </xf>
    <xf numFmtId="0" fontId="7" fillId="3" borderId="15" xfId="0" applyFont="1" applyFill="1" applyBorder="1" applyAlignment="1">
      <alignment horizontal="center" vertical="center"/>
    </xf>
    <xf numFmtId="0" fontId="10" fillId="4" borderId="15" xfId="0" applyFont="1" applyFill="1" applyBorder="1" applyAlignment="1">
      <alignment horizontal="center" vertical="center"/>
    </xf>
    <xf numFmtId="0" fontId="10" fillId="3" borderId="15" xfId="0" applyFont="1" applyFill="1" applyBorder="1" applyAlignment="1">
      <alignment horizontal="center" vertical="center" wrapText="1"/>
    </xf>
    <xf numFmtId="0" fontId="10" fillId="11" borderId="0" xfId="0" applyFont="1" applyFill="1" applyAlignment="1" applyProtection="1">
      <alignment horizontal="center" vertical="center"/>
      <protection hidden="1"/>
    </xf>
    <xf numFmtId="0" fontId="10" fillId="11" borderId="0" xfId="0" applyFont="1" applyFill="1" applyBorder="1" applyAlignment="1" applyProtection="1">
      <alignment horizontal="center" vertical="center"/>
      <protection hidden="1"/>
    </xf>
    <xf numFmtId="0" fontId="7" fillId="12" borderId="15" xfId="0" applyFont="1" applyFill="1" applyBorder="1" applyAlignment="1" applyProtection="1">
      <alignment horizontal="center" vertical="center" wrapText="1"/>
      <protection hidden="1"/>
    </xf>
    <xf numFmtId="0" fontId="10" fillId="3" borderId="15" xfId="0" applyFont="1" applyFill="1" applyBorder="1" applyAlignment="1" applyProtection="1">
      <alignment horizontal="center" vertical="center"/>
      <protection hidden="1"/>
    </xf>
    <xf numFmtId="0" fontId="7" fillId="13" borderId="15" xfId="0" applyFont="1" applyFill="1" applyBorder="1" applyAlignment="1" applyProtection="1">
      <alignment horizontal="center" vertical="center"/>
      <protection hidden="1"/>
    </xf>
    <xf numFmtId="0" fontId="9" fillId="14" borderId="15" xfId="0" applyFont="1" applyFill="1" applyBorder="1" applyAlignment="1" applyProtection="1">
      <alignment horizontal="center" vertical="center"/>
      <protection hidden="1"/>
    </xf>
    <xf numFmtId="0" fontId="9" fillId="3" borderId="15" xfId="0" applyFont="1" applyFill="1" applyBorder="1" applyAlignment="1">
      <alignment horizontal="center" vertical="center"/>
    </xf>
    <xf numFmtId="0" fontId="10" fillId="11" borderId="15" xfId="0" applyFont="1" applyFill="1" applyBorder="1" applyAlignment="1" applyProtection="1">
      <alignment horizontal="center" vertical="center"/>
      <protection hidden="1"/>
    </xf>
    <xf numFmtId="0" fontId="10" fillId="5" borderId="15" xfId="0" applyFont="1" applyFill="1" applyBorder="1" applyAlignment="1" applyProtection="1">
      <alignment horizontal="center" vertical="center"/>
      <protection hidden="1"/>
    </xf>
    <xf numFmtId="0" fontId="1" fillId="3" borderId="15" xfId="0" applyFont="1" applyFill="1" applyBorder="1" applyAlignment="1" applyProtection="1">
      <alignment horizontal="center" vertical="center" wrapText="1"/>
      <protection hidden="1"/>
    </xf>
    <xf numFmtId="0" fontId="10" fillId="5" borderId="15" xfId="0" applyFont="1" applyFill="1" applyBorder="1" applyAlignment="1" applyProtection="1">
      <alignment horizontal="center" vertical="center" wrapText="1"/>
      <protection hidden="1"/>
    </xf>
    <xf numFmtId="0" fontId="10" fillId="15" borderId="15" xfId="0" applyFont="1" applyFill="1" applyBorder="1" applyAlignment="1" applyProtection="1">
      <alignment horizontal="center" vertical="center"/>
      <protection hidden="1"/>
    </xf>
    <xf numFmtId="0" fontId="10" fillId="6" borderId="15" xfId="0" applyFont="1" applyFill="1" applyBorder="1" applyAlignment="1" applyProtection="1">
      <alignment horizontal="center" vertical="center" wrapText="1"/>
      <protection hidden="1"/>
    </xf>
    <xf numFmtId="0" fontId="14" fillId="6" borderId="15" xfId="0" applyFont="1" applyFill="1" applyBorder="1" applyAlignment="1" applyProtection="1">
      <alignment horizontal="center" vertical="center" wrapText="1"/>
      <protection hidden="1"/>
    </xf>
    <xf numFmtId="0" fontId="7" fillId="6" borderId="15" xfId="0" applyFont="1" applyFill="1" applyBorder="1" applyAlignment="1" applyProtection="1">
      <alignment horizontal="center" vertical="center"/>
      <protection hidden="1"/>
    </xf>
    <xf numFmtId="0" fontId="15" fillId="14" borderId="15" xfId="0" applyFont="1" applyFill="1" applyBorder="1" applyAlignment="1" applyProtection="1">
      <alignment horizontal="center" vertical="center"/>
      <protection hidden="1"/>
    </xf>
    <xf numFmtId="0" fontId="7" fillId="3" borderId="15" xfId="0" applyFont="1" applyFill="1" applyBorder="1" applyAlignment="1" applyProtection="1">
      <alignment horizontal="center" vertical="center"/>
      <protection hidden="1"/>
    </xf>
    <xf numFmtId="0" fontId="1" fillId="16" borderId="15" xfId="0" applyFont="1" applyFill="1" applyBorder="1" applyAlignment="1" applyProtection="1">
      <alignment horizontal="center" vertical="center"/>
      <protection hidden="1"/>
    </xf>
    <xf numFmtId="0" fontId="14" fillId="3" borderId="15" xfId="0" applyFont="1" applyFill="1" applyBorder="1" applyAlignment="1" applyProtection="1">
      <alignment horizontal="center" vertical="center"/>
      <protection hidden="1"/>
    </xf>
    <xf numFmtId="0" fontId="1" fillId="5" borderId="15" xfId="0" applyFont="1" applyFill="1" applyBorder="1" applyAlignment="1" applyProtection="1">
      <alignment horizontal="center" vertical="center"/>
      <protection hidden="1"/>
    </xf>
    <xf numFmtId="0" fontId="14" fillId="11" borderId="15" xfId="0" applyFont="1" applyFill="1" applyBorder="1" applyAlignment="1" applyProtection="1">
      <alignment horizontal="center" vertical="center"/>
      <protection hidden="1"/>
    </xf>
    <xf numFmtId="0" fontId="7" fillId="6" borderId="15" xfId="0" applyFont="1" applyFill="1" applyBorder="1" applyAlignment="1" applyProtection="1">
      <alignment horizontal="center" vertical="center" wrapText="1"/>
      <protection hidden="1"/>
    </xf>
    <xf numFmtId="0" fontId="7" fillId="17" borderId="15" xfId="0" applyFont="1" applyFill="1" applyBorder="1" applyAlignment="1" applyProtection="1">
      <alignment horizontal="center" vertical="center" wrapText="1"/>
      <protection hidden="1"/>
    </xf>
    <xf numFmtId="0" fontId="10" fillId="15" borderId="15" xfId="0" applyFont="1" applyFill="1" applyBorder="1" applyAlignment="1" applyProtection="1">
      <alignment horizontal="center" vertical="center" wrapText="1"/>
      <protection hidden="1"/>
    </xf>
    <xf numFmtId="0" fontId="10" fillId="16" borderId="15" xfId="0" applyFont="1" applyFill="1" applyBorder="1" applyAlignment="1" applyProtection="1">
      <alignment horizontal="center" vertical="center"/>
      <protection hidden="1"/>
    </xf>
    <xf numFmtId="0" fontId="1" fillId="3" borderId="15" xfId="0" applyFont="1" applyFill="1" applyBorder="1" applyAlignment="1" applyProtection="1">
      <alignment horizontal="center" vertical="center"/>
      <protection hidden="1"/>
    </xf>
    <xf numFmtId="0" fontId="14" fillId="16" borderId="15" xfId="0" applyFont="1" applyFill="1" applyBorder="1" applyAlignment="1" applyProtection="1">
      <alignment horizontal="center" vertical="center"/>
      <protection hidden="1"/>
    </xf>
    <xf numFmtId="0" fontId="3" fillId="15" borderId="15" xfId="0" applyFont="1" applyFill="1" applyBorder="1" applyAlignment="1" applyProtection="1">
      <alignment horizontal="center" vertical="center"/>
      <protection hidden="1"/>
    </xf>
    <xf numFmtId="0" fontId="10" fillId="16" borderId="15" xfId="0" applyFont="1" applyFill="1" applyBorder="1" applyAlignment="1" applyProtection="1">
      <alignment vertical="center"/>
      <protection hidden="1"/>
    </xf>
    <xf numFmtId="0" fontId="10" fillId="16" borderId="15" xfId="0" applyFont="1" applyFill="1" applyBorder="1" applyAlignment="1" applyProtection="1">
      <alignment horizontal="center" vertical="center" wrapText="1"/>
      <protection hidden="1"/>
    </xf>
    <xf numFmtId="0" fontId="10" fillId="9" borderId="15" xfId="0" applyFont="1" applyFill="1" applyBorder="1" applyAlignment="1" applyProtection="1">
      <alignment horizontal="center" vertical="center"/>
      <protection hidden="1"/>
    </xf>
    <xf numFmtId="0" fontId="9" fillId="5" borderId="15" xfId="0" applyFont="1" applyFill="1" applyBorder="1" applyAlignment="1" applyProtection="1">
      <alignment horizontal="center" vertical="center"/>
      <protection hidden="1"/>
    </xf>
    <xf numFmtId="0" fontId="9" fillId="15" borderId="15" xfId="0" applyFont="1" applyFill="1" applyBorder="1" applyAlignment="1" applyProtection="1">
      <alignment horizontal="center" vertical="center"/>
      <protection hidden="1"/>
    </xf>
    <xf numFmtId="0" fontId="9" fillId="9" borderId="15" xfId="0" applyFont="1" applyFill="1" applyBorder="1" applyAlignment="1" applyProtection="1">
      <alignment horizontal="center" vertical="center" wrapText="1"/>
      <protection hidden="1"/>
    </xf>
    <xf numFmtId="0" fontId="9" fillId="11" borderId="15" xfId="0" applyFont="1" applyFill="1" applyBorder="1" applyAlignment="1" applyProtection="1">
      <alignment horizontal="center" vertical="center"/>
      <protection hidden="1"/>
    </xf>
    <xf numFmtId="0" fontId="9" fillId="16" borderId="15" xfId="0" applyFont="1" applyFill="1" applyBorder="1" applyAlignment="1" applyProtection="1">
      <alignment horizontal="center" vertical="center"/>
      <protection hidden="1"/>
    </xf>
    <xf numFmtId="0" fontId="10" fillId="18" borderId="15" xfId="0" applyFont="1" applyFill="1" applyBorder="1" applyAlignment="1" applyProtection="1">
      <alignment horizontal="center" vertical="center"/>
      <protection hidden="1"/>
    </xf>
    <xf numFmtId="0" fontId="10" fillId="19" borderId="15"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wrapText="1"/>
      <protection hidden="1"/>
    </xf>
    <xf numFmtId="3" fontId="16" fillId="4" borderId="15" xfId="0" applyNumberFormat="1" applyFont="1" applyFill="1" applyBorder="1" applyAlignment="1">
      <alignment horizontal="center" vertical="center"/>
    </xf>
    <xf numFmtId="3" fontId="16" fillId="3" borderId="15" xfId="0" applyNumberFormat="1" applyFont="1" applyFill="1" applyBorder="1" applyAlignment="1">
      <alignment horizontal="center" vertical="center"/>
    </xf>
    <xf numFmtId="0" fontId="1" fillId="3" borderId="17" xfId="0" applyFont="1" applyFill="1" applyBorder="1" applyAlignment="1">
      <alignment horizontal="right" vertical="center"/>
    </xf>
    <xf numFmtId="0" fontId="1" fillId="3" borderId="17" xfId="0" applyFont="1" applyFill="1" applyBorder="1" applyAlignment="1">
      <alignment horizontal="left" vertical="center"/>
    </xf>
    <xf numFmtId="0" fontId="10" fillId="6" borderId="16" xfId="0" applyFont="1" applyFill="1" applyBorder="1" applyAlignment="1" applyProtection="1">
      <alignment horizontal="center" vertical="center"/>
      <protection hidden="1"/>
    </xf>
    <xf numFmtId="0" fontId="1" fillId="15" borderId="15" xfId="0" applyFont="1" applyFill="1" applyBorder="1" applyAlignment="1" applyProtection="1">
      <alignment horizontal="center" vertical="center"/>
      <protection hidden="1"/>
    </xf>
    <xf numFmtId="0" fontId="7" fillId="12" borderId="15" xfId="0" applyFont="1" applyFill="1" applyBorder="1" applyAlignment="1" applyProtection="1">
      <alignment horizontal="center" vertical="center"/>
      <protection hidden="1"/>
    </xf>
    <xf numFmtId="0" fontId="17" fillId="3" borderId="15" xfId="0" applyFont="1" applyFill="1" applyBorder="1" applyAlignment="1" applyProtection="1">
      <alignment horizontal="center" vertical="center"/>
      <protection hidden="1"/>
    </xf>
    <xf numFmtId="177" fontId="1" fillId="16" borderId="15" xfId="0" applyNumberFormat="1" applyFont="1" applyFill="1" applyBorder="1" applyAlignment="1" applyProtection="1">
      <alignment horizontal="center" vertical="center"/>
      <protection hidden="1"/>
    </xf>
    <xf numFmtId="3" fontId="16" fillId="4" borderId="18" xfId="0" applyNumberFormat="1" applyFont="1" applyFill="1" applyBorder="1" applyAlignment="1">
      <alignment horizontal="center" vertical="center"/>
    </xf>
    <xf numFmtId="3" fontId="16" fillId="3" borderId="18" xfId="0" applyNumberFormat="1" applyFont="1" applyFill="1" applyBorder="1" applyAlignment="1">
      <alignment horizontal="center" vertical="center"/>
    </xf>
    <xf numFmtId="0" fontId="10" fillId="11" borderId="0" xfId="0" applyFont="1" applyFill="1" applyAlignment="1" applyProtection="1">
      <alignment horizontal="center" vertical="center"/>
      <protection locked="0" hidden="1"/>
    </xf>
    <xf numFmtId="0" fontId="10" fillId="19" borderId="15" xfId="0" applyFont="1" applyFill="1" applyBorder="1" applyAlignment="1" applyProtection="1">
      <alignment horizontal="center" vertical="center" wrapText="1"/>
      <protection hidden="1"/>
    </xf>
    <xf numFmtId="0" fontId="10" fillId="11" borderId="15" xfId="0" applyFont="1" applyFill="1" applyBorder="1" applyAlignment="1" applyProtection="1">
      <alignment horizontal="center" vertical="center" wrapText="1"/>
      <protection hidden="1"/>
    </xf>
    <xf numFmtId="0" fontId="1" fillId="3" borderId="0" xfId="0" applyFont="1" applyFill="1">
      <alignment vertical="center"/>
    </xf>
    <xf numFmtId="0" fontId="10" fillId="20" borderId="0" xfId="0" applyFont="1" applyFill="1" applyAlignment="1" applyProtection="1">
      <alignment horizontal="center" vertical="center"/>
      <protection hidden="1"/>
    </xf>
    <xf numFmtId="0" fontId="7" fillId="12" borderId="7" xfId="0" applyFont="1" applyFill="1" applyBorder="1" applyAlignment="1" applyProtection="1">
      <alignment horizontal="center" vertical="center" wrapText="1"/>
      <protection hidden="1"/>
    </xf>
    <xf numFmtId="0" fontId="10" fillId="20" borderId="5" xfId="0" applyFont="1" applyFill="1" applyBorder="1" applyAlignment="1" applyProtection="1">
      <alignment horizontal="center" vertical="center"/>
      <protection hidden="1"/>
    </xf>
    <xf numFmtId="0" fontId="7" fillId="2" borderId="19" xfId="0" applyFont="1" applyFill="1" applyBorder="1" applyAlignment="1" applyProtection="1">
      <alignment horizontal="center" vertical="center" wrapText="1"/>
      <protection hidden="1"/>
    </xf>
    <xf numFmtId="0" fontId="7" fillId="2" borderId="20" xfId="0" applyFont="1" applyFill="1" applyBorder="1" applyAlignment="1" applyProtection="1">
      <alignment horizontal="center" vertical="center" wrapText="1"/>
      <protection hidden="1"/>
    </xf>
    <xf numFmtId="0" fontId="10" fillId="20" borderId="21" xfId="0" applyFont="1" applyFill="1" applyBorder="1" applyAlignment="1" applyProtection="1">
      <alignment horizontal="center" vertical="center"/>
      <protection hidden="1"/>
    </xf>
    <xf numFmtId="0" fontId="10" fillId="15" borderId="22" xfId="0" applyFont="1" applyFill="1" applyBorder="1" applyAlignment="1" applyProtection="1">
      <alignment horizontal="center" vertical="center" wrapText="1"/>
      <protection hidden="1"/>
    </xf>
    <xf numFmtId="0" fontId="10" fillId="15" borderId="5" xfId="0" applyFont="1" applyFill="1" applyBorder="1" applyAlignment="1" applyProtection="1">
      <alignment horizontal="center" vertical="center" wrapText="1"/>
      <protection hidden="1"/>
    </xf>
    <xf numFmtId="0" fontId="10" fillId="15" borderId="12" xfId="0" applyFont="1" applyFill="1" applyBorder="1" applyAlignment="1" applyProtection="1">
      <alignment horizontal="center" vertical="center" wrapText="1"/>
      <protection hidden="1"/>
    </xf>
    <xf numFmtId="0" fontId="10" fillId="15" borderId="13" xfId="0" applyFont="1" applyFill="1" applyBorder="1" applyAlignment="1" applyProtection="1">
      <alignment horizontal="center" vertical="center" wrapText="1"/>
      <protection hidden="1"/>
    </xf>
    <xf numFmtId="0" fontId="10" fillId="15" borderId="13" xfId="0" applyFont="1" applyFill="1" applyBorder="1" applyAlignment="1" applyProtection="1">
      <alignment vertical="center" wrapText="1"/>
      <protection hidden="1"/>
    </xf>
    <xf numFmtId="0" fontId="10" fillId="20" borderId="12" xfId="0" applyFont="1" applyFill="1" applyBorder="1" applyAlignment="1" applyProtection="1">
      <alignment horizontal="center" vertical="center"/>
      <protection hidden="1"/>
    </xf>
    <xf numFmtId="0" fontId="10" fillId="5" borderId="23" xfId="0" applyFont="1" applyFill="1" applyBorder="1" applyAlignment="1" applyProtection="1">
      <alignment horizontal="center" vertical="center" wrapText="1"/>
      <protection hidden="1"/>
    </xf>
    <xf numFmtId="0" fontId="10" fillId="11" borderId="23" xfId="0" applyFont="1" applyFill="1" applyBorder="1" applyAlignment="1" applyProtection="1">
      <alignment horizontal="center" vertical="center"/>
      <protection hidden="1"/>
    </xf>
    <xf numFmtId="0" fontId="10" fillId="20" borderId="13" xfId="0" applyFont="1" applyFill="1" applyBorder="1" applyAlignment="1" applyProtection="1">
      <alignment horizontal="center" vertical="center"/>
      <protection hidden="1"/>
    </xf>
    <xf numFmtId="0" fontId="10" fillId="11" borderId="24" xfId="0" applyFont="1" applyFill="1" applyBorder="1" applyAlignment="1" applyProtection="1">
      <alignment horizontal="center" vertical="center" wrapText="1"/>
      <protection hidden="1"/>
    </xf>
    <xf numFmtId="0" fontId="10" fillId="11" borderId="11" xfId="0" applyFont="1" applyFill="1" applyBorder="1" applyAlignment="1" applyProtection="1">
      <alignment horizontal="center" vertical="center" wrapText="1"/>
      <protection hidden="1"/>
    </xf>
    <xf numFmtId="0" fontId="10" fillId="11" borderId="10" xfId="0" applyFont="1" applyFill="1" applyBorder="1" applyAlignment="1" applyProtection="1">
      <alignment horizontal="center" vertical="center" wrapText="1"/>
      <protection hidden="1"/>
    </xf>
    <xf numFmtId="0" fontId="10" fillId="11" borderId="10" xfId="0" applyFont="1" applyFill="1" applyBorder="1" applyAlignment="1" applyProtection="1">
      <alignment horizontal="center" vertical="center"/>
      <protection hidden="1"/>
    </xf>
    <xf numFmtId="0" fontId="10" fillId="11" borderId="24" xfId="0" applyFont="1" applyFill="1" applyBorder="1" applyAlignment="1" applyProtection="1">
      <alignment horizontal="center" vertical="center"/>
      <protection hidden="1"/>
    </xf>
    <xf numFmtId="0" fontId="10" fillId="11" borderId="11" xfId="0" applyFont="1" applyFill="1" applyBorder="1" applyAlignment="1" applyProtection="1">
      <alignment horizontal="center" vertical="center"/>
      <protection hidden="1"/>
    </xf>
    <xf numFmtId="0" fontId="10" fillId="11" borderId="5" xfId="0" applyFont="1" applyFill="1" applyBorder="1" applyAlignment="1" applyProtection="1">
      <alignment horizontal="center" vertical="center" wrapText="1"/>
      <protection hidden="1"/>
    </xf>
    <xf numFmtId="0" fontId="10" fillId="11" borderId="5" xfId="0" applyFont="1" applyFill="1" applyBorder="1" applyAlignment="1" applyProtection="1">
      <alignment horizontal="center" vertical="center"/>
      <protection hidden="1"/>
    </xf>
    <xf numFmtId="0" fontId="10" fillId="5" borderId="25" xfId="0" applyFont="1" applyFill="1" applyBorder="1" applyAlignment="1" applyProtection="1">
      <alignment horizontal="center" vertical="center" wrapText="1"/>
      <protection hidden="1"/>
    </xf>
    <xf numFmtId="0" fontId="10" fillId="11" borderId="25"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21" borderId="26" xfId="0" applyFont="1" applyFill="1" applyBorder="1" applyAlignment="1" applyProtection="1">
      <alignment horizontal="center" vertical="center"/>
      <protection hidden="1"/>
    </xf>
    <xf numFmtId="0" fontId="10" fillId="21" borderId="5" xfId="0" applyFont="1" applyFill="1" applyBorder="1" applyAlignment="1" applyProtection="1">
      <alignment horizontal="center" vertical="center"/>
      <protection hidden="1"/>
    </xf>
    <xf numFmtId="0" fontId="10" fillId="22" borderId="0" xfId="0" applyFont="1" applyFill="1" applyAlignment="1" applyProtection="1">
      <alignment horizontal="center" vertical="center"/>
      <protection hidden="1"/>
    </xf>
    <xf numFmtId="0" fontId="1" fillId="15" borderId="15" xfId="0" applyFont="1" applyFill="1" applyBorder="1" applyAlignment="1" applyProtection="1">
      <alignment horizontal="center" vertical="center" wrapText="1"/>
      <protection hidden="1"/>
    </xf>
    <xf numFmtId="0" fontId="1" fillId="15" borderId="27" xfId="0" applyFont="1" applyFill="1" applyBorder="1" applyAlignment="1" applyProtection="1">
      <alignment horizontal="center" vertical="center"/>
      <protection hidden="1"/>
    </xf>
    <xf numFmtId="0" fontId="1" fillId="15" borderId="17" xfId="0" applyFont="1" applyFill="1" applyBorder="1" applyAlignment="1" applyProtection="1">
      <alignment horizontal="center" vertical="center"/>
      <protection hidden="1"/>
    </xf>
    <xf numFmtId="0" fontId="1" fillId="15" borderId="16" xfId="0" applyFont="1" applyFill="1" applyBorder="1" applyAlignment="1" applyProtection="1">
      <alignment horizontal="center" vertical="center"/>
      <protection hidden="1"/>
    </xf>
    <xf numFmtId="177" fontId="1" fillId="23" borderId="15" xfId="0" applyNumberFormat="1" applyFont="1" applyFill="1" applyBorder="1" applyAlignment="1" applyProtection="1">
      <alignment horizontal="center" vertical="center"/>
      <protection hidden="1"/>
    </xf>
    <xf numFmtId="0" fontId="10" fillId="11" borderId="28" xfId="0" applyFont="1" applyFill="1" applyBorder="1" applyAlignment="1" applyProtection="1">
      <alignment horizontal="center" vertical="center"/>
      <protection hidden="1"/>
    </xf>
    <xf numFmtId="0" fontId="10" fillId="11" borderId="29" xfId="0" applyFont="1" applyFill="1" applyBorder="1" applyAlignment="1" applyProtection="1">
      <alignment horizontal="center" vertical="center"/>
      <protection hidden="1"/>
    </xf>
    <xf numFmtId="0" fontId="10" fillId="11" borderId="30" xfId="0" applyFont="1" applyFill="1" applyBorder="1" applyAlignment="1" applyProtection="1">
      <alignment horizontal="center" vertical="center"/>
      <protection hidden="1"/>
    </xf>
    <xf numFmtId="0" fontId="10" fillId="11" borderId="31" xfId="0" applyFont="1" applyFill="1" applyBorder="1" applyAlignment="1" applyProtection="1">
      <alignment horizontal="center" vertical="center"/>
      <protection hidden="1"/>
    </xf>
    <xf numFmtId="0" fontId="10" fillId="11" borderId="32" xfId="0" applyFont="1" applyFill="1" applyBorder="1" applyAlignment="1" applyProtection="1">
      <alignment horizontal="center" vertical="center"/>
      <protection hidden="1"/>
    </xf>
    <xf numFmtId="0" fontId="10" fillId="11" borderId="33" xfId="0" applyFont="1" applyFill="1" applyBorder="1" applyAlignment="1" applyProtection="1">
      <alignment horizontal="center" vertical="center"/>
      <protection hidden="1"/>
    </xf>
    <xf numFmtId="0" fontId="10" fillId="11" borderId="34" xfId="0" applyFont="1" applyFill="1" applyBorder="1" applyAlignment="1" applyProtection="1">
      <alignment horizontal="center" vertical="center"/>
      <protection hidden="1"/>
    </xf>
    <xf numFmtId="0" fontId="10" fillId="11" borderId="35" xfId="0" applyFont="1" applyFill="1" applyBorder="1" applyAlignment="1" applyProtection="1">
      <alignment horizontal="center" vertical="center"/>
      <protection hidden="1"/>
    </xf>
    <xf numFmtId="0" fontId="7" fillId="12" borderId="0" xfId="0" applyFont="1" applyFill="1" applyBorder="1" applyAlignment="1" applyProtection="1">
      <alignment horizontal="center" vertical="center"/>
      <protection hidden="1"/>
    </xf>
    <xf numFmtId="0" fontId="1" fillId="15" borderId="19" xfId="0" applyFont="1" applyFill="1" applyBorder="1" applyAlignment="1" applyProtection="1">
      <alignment horizontal="center" vertical="center" wrapText="1"/>
      <protection hidden="1"/>
    </xf>
    <xf numFmtId="0" fontId="1" fillId="15" borderId="20" xfId="0" applyFont="1" applyFill="1" applyBorder="1" applyAlignment="1" applyProtection="1">
      <alignment horizontal="center" vertical="center" wrapText="1"/>
      <protection hidden="1"/>
    </xf>
    <xf numFmtId="0" fontId="1" fillId="15" borderId="36" xfId="0" applyFont="1" applyFill="1" applyBorder="1" applyAlignment="1" applyProtection="1">
      <alignment horizontal="center" vertical="center" wrapText="1"/>
      <protection hidden="1"/>
    </xf>
    <xf numFmtId="0" fontId="10" fillId="15" borderId="21" xfId="0" applyFont="1" applyFill="1" applyBorder="1" applyAlignment="1" applyProtection="1">
      <alignment horizontal="center" vertical="center"/>
      <protection hidden="1"/>
    </xf>
    <xf numFmtId="0" fontId="10" fillId="15" borderId="19"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15" borderId="36" xfId="0" applyFont="1" applyFill="1" applyBorder="1" applyAlignment="1" applyProtection="1">
      <alignment horizontal="center" vertical="center"/>
      <protection hidden="1"/>
    </xf>
    <xf numFmtId="0" fontId="10" fillId="16" borderId="22" xfId="0" applyFont="1" applyFill="1" applyBorder="1" applyAlignment="1" applyProtection="1">
      <alignment horizontal="center" vertical="center" wrapText="1"/>
      <protection hidden="1"/>
    </xf>
    <xf numFmtId="0" fontId="10" fillId="16"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left" vertical="center" wrapText="1"/>
      <protection hidden="1"/>
    </xf>
    <xf numFmtId="0" fontId="5" fillId="6" borderId="15" xfId="0" applyFont="1" applyFill="1" applyBorder="1" applyAlignment="1" applyProtection="1">
      <alignment horizontal="center" vertical="center"/>
      <protection hidden="1"/>
    </xf>
    <xf numFmtId="0" fontId="10" fillId="3" borderId="15" xfId="0" applyFont="1" applyFill="1" applyBorder="1" applyAlignment="1" applyProtection="1">
      <alignment horizontal="center" vertical="center" wrapText="1"/>
      <protection hidden="1"/>
    </xf>
    <xf numFmtId="0" fontId="10" fillId="11" borderId="15" xfId="0" applyFont="1" applyFill="1" applyBorder="1" applyAlignment="1" applyProtection="1">
      <alignment horizontal="left" vertical="top" wrapText="1"/>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4">
    <dxf>
      <font>
        <name val="黑体"/>
        <scheme val="none"/>
        <charset val="134"/>
        <family val="0"/>
        <b val="0"/>
        <i val="0"/>
        <strike val="0"/>
        <u val="none"/>
        <sz val="12"/>
        <color theme="1"/>
      </font>
      <numFmt numFmtId="0" formatCode="General"/>
      <fill>
        <patternFill patternType="solid">
          <bgColor rgb="FF8497B0"/>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wrapText="1"/>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4B4A44"/>
      <color rgb="00F8F7F3"/>
      <color rgb="00E0DED5"/>
      <color rgb="00FAFEFF"/>
      <color rgb="00D0DDFE"/>
      <color rgb="00662B2B"/>
      <color rgb="00D9CEC2"/>
      <color rgb="00EBEAE4"/>
      <color rgb="00FEFDFB"/>
      <color rgb="0028282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eetMetadata" Target="metadata.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"数据值"</c:f>
              <c:strCache>
                <c:ptCount val="1"/>
                <c:pt idx="0">
                  <c:v>数据值</c:v>
                </c:pt>
              </c:strCache>
            </c:strRef>
          </c:tx>
          <c:spPr>
            <a:gradFill>
              <a:gsLst>
                <a:gs pos="0">
                  <a:srgbClr val="D6DCE4"/>
                </a:gs>
                <a:gs pos="50000">
                  <a:srgbClr val="ACB9CA"/>
                </a:gs>
                <a:gs pos="100000">
                  <a:srgbClr val="44546A"/>
                </a:gs>
              </a:gsLst>
              <a:lin ang="5400000"/>
            </a:gradFill>
            <a:ln w="19080">
              <a:solidFill>
                <a:srgbClr val="000000"/>
              </a:solidFill>
              <a:round/>
            </a:ln>
          </c:spP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spc="-1" baseline="0">
                    <a:solidFill>
                      <a:srgbClr val="404040"/>
                    </a:solidFill>
                    <a:latin typeface="黑体" panose="02010609060101010101" charset="-122"/>
                    <a:ea typeface="黑体" panose="02010609060101010101" charset="-122"/>
                    <a:cs typeface="+mn-cs"/>
                  </a:defRPr>
                </a:pPr>
              </a:p>
            </c:txPr>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人物!$K$13:$K$21</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"百分比值"</c:f>
              <c:strCache>
                <c:ptCount val="1"/>
                <c:pt idx="0">
                  <c:v>百分比值</c:v>
                </c:pt>
              </c:strCache>
            </c:strRef>
          </c:tx>
          <c:spPr>
            <a:noFill/>
            <a:ln w="12600">
              <a:noFill/>
            </a:ln>
          </c:spP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0"/>
          <c:showCatName val="0"/>
          <c:showSerName val="0"/>
          <c:showPercent val="0"/>
          <c:showBubbleSize val="1"/>
        </c:dLbls>
        <c:axId val="86885501"/>
        <c:axId val="34738199"/>
      </c:radarChart>
      <c:catAx>
        <c:axId val="86885501"/>
        <c:scaling>
          <c:orientation val="maxMin"/>
        </c:scaling>
        <c:delete val="0"/>
        <c:axPos val="b"/>
        <c:numFmt formatCode="General" sourceLinked="0"/>
        <c:majorTickMark val="out"/>
        <c:minorTickMark val="none"/>
        <c:tickLblPos val="nextTo"/>
        <c:spPr>
          <a:ln w="9360" cap="flat" cmpd="sng" algn="ctr">
            <a:noFill/>
            <a:prstDash val="solid"/>
            <a:round/>
          </a:ln>
        </c:spPr>
        <c:txPr>
          <a:bodyPr rot="-60000000" spcFirstLastPara="0" vertOverflow="ellipsis" vert="horz" wrap="square" anchor="ctr" anchorCtr="1"/>
          <a:lstStyle/>
          <a:p>
            <a:pPr>
              <a:defRPr lang="zh-CN" sz="1200" b="0" i="0" u="none" strike="noStrike" kern="1200" spc="-1" baseline="0">
                <a:solidFill>
                  <a:srgbClr val="595959"/>
                </a:solidFill>
                <a:latin typeface="黑体" panose="02010609060101010101" charset="-122"/>
                <a:ea typeface="黑体" panose="02010609060101010101" charset="-122"/>
                <a:cs typeface="+mn-cs"/>
              </a:defRPr>
            </a:pPr>
          </a:p>
        </c:txPr>
        <c:crossAx val="34738199"/>
        <c:crosses val="autoZero"/>
        <c:auto val="1"/>
        <c:lblAlgn val="ctr"/>
        <c:lblOffset val="100"/>
        <c:noMultiLvlLbl val="0"/>
      </c:catAx>
      <c:valAx>
        <c:axId val="34738199"/>
        <c:scaling>
          <c:orientation val="minMax"/>
        </c:scaling>
        <c:delete val="1"/>
        <c:axPos val="r"/>
        <c:majorGridlines>
          <c:spPr>
            <a:ln w="9360" cap="flat" cmpd="sng" algn="ctr">
              <a:solidFill>
                <a:srgbClr val="D9D9D9"/>
              </a:solidFill>
              <a:prstDash val="solid"/>
              <a:round/>
            </a:ln>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spc="-1" baseline="0">
                <a:solidFill>
                  <a:srgbClr val="595959"/>
                </a:solidFill>
                <a:latin typeface="黑体" panose="02010609060101010101" charset="-122"/>
                <a:ea typeface="黑体" panose="02010609060101010101" charset="-122"/>
                <a:cs typeface="+mn-cs"/>
              </a:defRPr>
            </a:pPr>
          </a:p>
        </c:txPr>
        <c:crossAx val="86885501"/>
        <c:crosses val="autoZero"/>
        <c:crossBetween val="midCat"/>
      </c:valAx>
      <c:spPr>
        <a:noFill/>
        <a:ln w="0">
          <a:noFill/>
        </a:ln>
      </c:spPr>
    </c:plotArea>
    <c:plotVisOnly val="1"/>
    <c:dispBlanksAs val="gap"/>
    <c:showDLblsOverMax val="0"/>
    <c:extLst>
      <c:ext uri="{0b15fc19-7d7d-44ad-8c2d-2c3a37ce22c3}">
        <chartProps xmlns="https://web.wps.cn/et/2018/main" chartId="{787f0095-0f98-4ae6-8ed5-8a29e3343895}"/>
      </c:ext>
    </c:extLst>
  </c:chart>
  <c:spPr>
    <a:noFill/>
    <a:ln w="9360" cap="flat" cmpd="sng" algn="ctr">
      <a:no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"属性数据"</c:f>
              <c:strCache>
                <c:ptCount val="1"/>
                <c:pt idx="0">
                  <c:v>属性数据</c:v>
                </c:pt>
              </c:strCache>
            </c:strRef>
          </c:tx>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武备!$L$71:$L$79</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"数值百分轴"</c:f>
              <c:strCache>
                <c:ptCount val="1"/>
                <c:pt idx="0">
                  <c:v>数值百分轴</c:v>
                </c:pt>
              </c:strCache>
            </c:strRef>
          </c:tx>
          <c:spPr>
            <a:noFill/>
            <a:ln w="12700">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 b="0" i="0" u="none" strike="noStrike" kern="1200" baseline="0">
                    <a:solidFill>
                      <a:schemeClr val="bg1"/>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8019de2e-56f3-46d4-8f44-42e42609fc9c}"/>
      </c:ext>
    </c:extLst>
  </c:chart>
  <c:spPr>
    <a:noFill/>
    <a:ln w="9525" cap="flat" cmpd="sng" algn="ctr">
      <a:no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12</xdr:row>
      <xdr:rowOff>126365</xdr:rowOff>
    </xdr:from>
    <xdr:to>
      <xdr:col>17</xdr:col>
      <xdr:colOff>385445</xdr:colOff>
      <xdr:row>20</xdr:row>
      <xdr:rowOff>125095</xdr:rowOff>
    </xdr:to>
    <xdr:graphicFrame>
      <xdr:nvGraphicFramePr>
        <xdr:cNvPr id="2" name="Chart 1"/>
        <xdr:cNvGraphicFramePr/>
      </xdr:nvGraphicFramePr>
      <xdr:xfrm>
        <a:off x="4892675" y="3174365"/>
        <a:ext cx="1955165" cy="2030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9525</xdr:colOff>
      <xdr:row>17</xdr:row>
      <xdr:rowOff>1270</xdr:rowOff>
    </xdr:from>
    <xdr:to>
      <xdr:col>19</xdr:col>
      <xdr:colOff>376555</xdr:colOff>
      <xdr:row>22</xdr:row>
      <xdr:rowOff>84455</xdr:rowOff>
    </xdr:to>
    <xdr:pic>
      <xdr:nvPicPr>
        <xdr:cNvPr id="3" name="图片 2" descr="92F8560CF0D12C0A5B3FB8955E1F9690"/>
        <xdr:cNvPicPr>
          <a:picLocks noChangeAspect="1"/>
        </xdr:cNvPicPr>
      </xdr:nvPicPr>
      <xdr:blipFill>
        <a:blip r:embed="rId2"/>
        <a:srcRect t="3742"/>
        <a:stretch>
          <a:fillRect/>
        </a:stretch>
      </xdr:blipFill>
      <xdr:spPr>
        <a:xfrm>
          <a:off x="6471920" y="4319270"/>
          <a:ext cx="941070" cy="13531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70</xdr:row>
      <xdr:rowOff>12700</xdr:rowOff>
    </xdr:from>
    <xdr:to>
      <xdr:col>17</xdr:col>
      <xdr:colOff>375285</xdr:colOff>
      <xdr:row>78</xdr:row>
      <xdr:rowOff>200660</xdr:rowOff>
    </xdr:to>
    <xdr:graphicFrame>
      <xdr:nvGraphicFramePr>
        <xdr:cNvPr id="5" name="图表 4"/>
        <xdr:cNvGraphicFramePr/>
      </xdr:nvGraphicFramePr>
      <xdr:xfrm>
        <a:off x="4900295" y="16014700"/>
        <a:ext cx="1947545" cy="201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167640</xdr:colOff>
      <xdr:row>12</xdr:row>
      <xdr:rowOff>46990</xdr:rowOff>
    </xdr:from>
    <xdr:to>
      <xdr:col>17</xdr:col>
      <xdr:colOff>382270</xdr:colOff>
      <xdr:row>17</xdr:row>
      <xdr:rowOff>160655</xdr:rowOff>
    </xdr:to>
    <xdr:sp>
      <xdr:nvSpPr>
        <xdr:cNvPr id="2" name="文本框 1"/>
        <xdr:cNvSpPr txBox="1"/>
      </xdr:nvSpPr>
      <xdr:spPr>
        <a:xfrm>
          <a:off x="167640" y="2790190"/>
          <a:ext cx="6706870" cy="1256665"/>
        </a:xfrm>
        <a:prstGeom prst="rect">
          <a:avLst/>
        </a:prstGeom>
        <a:solidFill>
          <a:srgbClr val="FEFDFB"/>
        </a:solidFill>
        <a:ln w="9525" cmpd="sng">
          <a:solidFill>
            <a:srgbClr val="2828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l"/>
          <a:endParaRPr lang="zh-CN" altLang="en-US" sz="1100">
            <a:ln>
              <a:noFill/>
            </a:ln>
            <a:solidFill>
              <a:srgbClr val="FEFDFB"/>
            </a:solidFill>
            <a:latin typeface="黑体" panose="02010609060101010101" charset="-122"/>
            <a:ea typeface="黑体" panose="02010609060101010101"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esktop\&#36305;&#22242;\WH40K\DH1e&#31354;&#30333;&#21345;-1.13&#26356;&#26032;&#20102;&#20381;&#28982;&#31616;&#38475;&#20294;&#21193;&#24378;&#33021;&#29992;&#30340;&#27861;&#34920;&#31995;&#3247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人物"/>
      <sheetName val="武备"/>
      <sheetName val="灵能"/>
      <sheetName val="引用"/>
      <sheetName val="WpsReserved_CellImgList"/>
    </sheetNames>
    <sheetDataSet>
      <sheetData sheetId="0"/>
      <sheetData sheetId="1"/>
      <sheetData sheetId="2"/>
      <sheetData sheetId="3">
        <row r="29">
          <cell r="J29" t="str">
            <v>格</v>
          </cell>
        </row>
        <row r="30">
          <cell r="J30" t="str">
            <v>射</v>
          </cell>
        </row>
        <row r="31">
          <cell r="J31" t="str">
            <v>力</v>
          </cell>
        </row>
        <row r="32">
          <cell r="J32" t="str">
            <v>坚</v>
          </cell>
        </row>
        <row r="33">
          <cell r="J33" t="str">
            <v>敏</v>
          </cell>
        </row>
        <row r="34">
          <cell r="J34" t="str">
            <v>智</v>
          </cell>
        </row>
        <row r="35">
          <cell r="J35" t="str">
            <v>感</v>
          </cell>
        </row>
        <row r="36">
          <cell r="J36" t="str">
            <v>意</v>
          </cell>
        </row>
        <row r="37">
          <cell r="J37" t="str">
            <v>交</v>
          </cell>
        </row>
      </sheetData>
      <sheetData sheetId="4"/>
    </sheetDataSet>
  </externalBook>
</externalLink>
</file>

<file path=xl/tables/table1.xml><?xml version="1.0" encoding="utf-8"?>
<table xmlns="http://schemas.openxmlformats.org/spreadsheetml/2006/main" id="4" name="灵能表" displayName="灵能表" ref="B2:I137" totalsRowShown="0">
  <autoFilter xmlns:etc="http://www.wps.cn/officeDocument/2017/etCustomData" ref="B2:I137" etc:filterBottomFollowUsedRange="0"/>
  <tableColumns count="8">
    <tableColumn id="1" name="灵能名称"/>
    <tableColumn id="2" name="灵能类别" dataDxfId="0"/>
    <tableColumn id="3" name="阈值" dataDxfId="1"/>
    <tableColumn id="4" name="聚焦" dataDxfId="2"/>
    <tableColumn id="5" name="维持" dataDxfId="3"/>
    <tableColumn id="6" name="范围" dataDxfId="4"/>
    <tableColumn id="7" name="能力" dataDxfId="5"/>
    <tableColumn id="8" name="超量释放" dataDxfId="6"/>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9"/>
  <sheetViews>
    <sheetView tabSelected="1" zoomScale="70" zoomScaleNormal="70" workbookViewId="0">
      <selection activeCell="N9" sqref="N9:AA10"/>
    </sheetView>
  </sheetViews>
  <sheetFormatPr defaultColWidth="5.16666666666667" defaultRowHeight="20" customHeight="1"/>
  <cols>
    <col min="1" max="1" width="2.40833333333333" style="81" customWidth="1"/>
    <col min="2" max="18" width="5.15" style="81" customWidth="1"/>
    <col min="19" max="19" width="2.38333333333333" style="81" customWidth="1"/>
    <col min="20" max="27" width="5.15" style="81" customWidth="1"/>
    <col min="28" max="28" width="2.40833333333333" style="82" customWidth="1"/>
    <col min="29" max="29" width="7.25" style="81" customWidth="1"/>
    <col min="30" max="16384" width="5.15833333333333" style="81"/>
  </cols>
  <sheetData>
    <row r="1" customHeight="1" spans="1:28">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row>
    <row r="2" customHeight="1" spans="1:28">
      <c r="A2" s="45"/>
      <c r="B2" s="83" t="s">
        <v>0</v>
      </c>
      <c r="C2" s="83"/>
      <c r="D2" s="84"/>
      <c r="E2" s="84"/>
      <c r="F2" s="84"/>
      <c r="G2" s="84"/>
      <c r="H2" s="83" t="s">
        <v>1</v>
      </c>
      <c r="I2" s="83"/>
      <c r="J2" s="84"/>
      <c r="K2" s="84"/>
      <c r="L2" s="84"/>
      <c r="M2" s="84"/>
      <c r="N2" s="84"/>
      <c r="O2" s="84"/>
      <c r="P2" s="84"/>
      <c r="Q2" s="84"/>
      <c r="R2" s="84"/>
      <c r="S2" s="45"/>
      <c r="T2" s="85" t="s">
        <v>2</v>
      </c>
      <c r="U2" s="86" t="s">
        <v>3</v>
      </c>
      <c r="V2" s="86"/>
      <c r="W2" s="86"/>
      <c r="X2" s="87"/>
      <c r="Y2" s="86" t="s">
        <v>4</v>
      </c>
      <c r="Z2" s="87">
        <f ca="1">IF(X2="是",K7,0)+W3+X5</f>
        <v>0</v>
      </c>
      <c r="AA2" s="87"/>
      <c r="AB2" s="45"/>
    </row>
    <row r="3" customHeight="1" spans="1:28">
      <c r="A3" s="45"/>
      <c r="B3" s="83" t="s">
        <v>5</v>
      </c>
      <c r="C3" s="83"/>
      <c r="D3" s="84"/>
      <c r="E3" s="84"/>
      <c r="F3" s="84"/>
      <c r="G3" s="84"/>
      <c r="H3" s="83" t="s">
        <v>6</v>
      </c>
      <c r="I3" s="83"/>
      <c r="J3" s="84"/>
      <c r="K3" s="84"/>
      <c r="L3" s="84"/>
      <c r="M3" s="84"/>
      <c r="N3" s="84"/>
      <c r="O3" s="83" t="s">
        <v>7</v>
      </c>
      <c r="P3" s="88"/>
      <c r="Q3" s="83" t="s">
        <v>8</v>
      </c>
      <c r="R3" s="88"/>
      <c r="S3" s="45"/>
      <c r="T3" s="85"/>
      <c r="U3" s="86" t="s">
        <v>9</v>
      </c>
      <c r="V3" s="86"/>
      <c r="W3" s="87"/>
      <c r="X3" s="87"/>
      <c r="Y3" s="86" t="s">
        <v>10</v>
      </c>
      <c r="Z3" s="87">
        <f>武备!Q115</f>
        <v>0</v>
      </c>
      <c r="AA3" s="87"/>
      <c r="AB3" s="45"/>
    </row>
    <row r="4" customHeight="1" spans="1:28">
      <c r="A4" s="45"/>
      <c r="B4" s="83" t="s">
        <v>11</v>
      </c>
      <c r="C4" s="83"/>
      <c r="D4" s="84"/>
      <c r="E4" s="84"/>
      <c r="F4" s="84"/>
      <c r="G4" s="84"/>
      <c r="H4" s="83" t="s">
        <v>12</v>
      </c>
      <c r="I4" s="83"/>
      <c r="J4" s="84" t="str">
        <f>IF(N4="","","Rank "&amp;COUNTIF(Z$35:Z$50,"&lt;="&amp;Q4)+1)</f>
        <v/>
      </c>
      <c r="K4" s="84"/>
      <c r="L4" s="83" t="s">
        <v>13</v>
      </c>
      <c r="M4" s="89" t="s">
        <v>14</v>
      </c>
      <c r="N4" s="90"/>
      <c r="O4" s="90"/>
      <c r="P4" s="89" t="s">
        <v>10</v>
      </c>
      <c r="Q4" s="84" t="str">
        <f>IF(N4="","",I22+R58+R99+H138+H109)</f>
        <v/>
      </c>
      <c r="R4" s="84"/>
      <c r="S4" s="45"/>
      <c r="T4" s="85"/>
      <c r="U4" s="86" t="s">
        <v>15</v>
      </c>
      <c r="V4" s="86"/>
      <c r="W4" s="87"/>
      <c r="X4" s="87"/>
      <c r="Y4" s="86" t="s">
        <v>16</v>
      </c>
      <c r="Z4" s="87">
        <f ca="1">Z2-Z3</f>
        <v>0</v>
      </c>
      <c r="AA4" s="87"/>
      <c r="AB4" s="45"/>
    </row>
    <row r="5" customHeight="1" spans="1:28">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row>
    <row r="6" customHeight="1" spans="1:28">
      <c r="A6" s="45"/>
      <c r="B6" s="83" t="s">
        <v>17</v>
      </c>
      <c r="C6" s="83"/>
      <c r="D6" s="83"/>
      <c r="E6" s="83"/>
      <c r="F6" s="83"/>
      <c r="G6" s="83" t="s">
        <v>18</v>
      </c>
      <c r="H6" s="83" t="s">
        <v>19</v>
      </c>
      <c r="I6" s="83" t="s">
        <v>20</v>
      </c>
      <c r="J6" s="83"/>
      <c r="K6" s="83" t="s">
        <v>21</v>
      </c>
      <c r="L6" s="83"/>
      <c r="M6" s="83" t="s">
        <v>22</v>
      </c>
      <c r="N6" s="83" t="s">
        <v>23</v>
      </c>
      <c r="O6" s="54" t="str">
        <f>IFERROR(VLOOKUP(N7,人物数据!$A:$B,2,0),"")</f>
        <v/>
      </c>
      <c r="P6" s="54"/>
      <c r="Q6" s="54"/>
      <c r="R6" s="54"/>
      <c r="S6" s="54"/>
      <c r="T6" s="54"/>
      <c r="U6" s="54"/>
      <c r="V6" s="54"/>
      <c r="W6" s="54"/>
      <c r="X6" s="54"/>
      <c r="Y6" s="54"/>
      <c r="Z6" s="54"/>
      <c r="AA6" s="54"/>
      <c r="AB6" s="45"/>
    </row>
    <row r="7" customHeight="1" spans="1:28">
      <c r="A7" s="45"/>
      <c r="B7" s="84"/>
      <c r="C7" s="84"/>
      <c r="D7" s="84"/>
      <c r="E7" s="84"/>
      <c r="F7" s="84"/>
      <c r="G7" s="84" t="str">
        <f>IFERROR(VLOOKUP(B7,职业数据!$E:$G,2,0),"")</f>
        <v/>
      </c>
      <c r="H7" s="84" t="str">
        <f>IFERROR(VLOOKUP(B7,职业数据!$E:$G,3,0),"")</f>
        <v/>
      </c>
      <c r="I7" s="84"/>
      <c r="J7" s="84"/>
      <c r="K7" s="84" t="str" cm="1">
        <f ca="1" t="array" ref="K7">IF(B7="","",IF(N4&lt;400,0,SUMPRODUCT((ROW(INDIRECT("1:"&amp;INT(N4/400)))*400&lt;=N4)*(G7+(COUNTIFS(Z$35:Z$50,"&lt;="&amp;ROW(INDIRECT("1:"&amp;INT(N4/400)))*400)*H7))))+I7)</f>
        <v/>
      </c>
      <c r="L7" s="84"/>
      <c r="M7" s="83"/>
      <c r="N7" s="88"/>
      <c r="O7" s="54"/>
      <c r="P7" s="54"/>
      <c r="Q7" s="54"/>
      <c r="R7" s="54"/>
      <c r="S7" s="54"/>
      <c r="T7" s="54"/>
      <c r="U7" s="54"/>
      <c r="V7" s="54"/>
      <c r="W7" s="54"/>
      <c r="X7" s="54"/>
      <c r="Y7" s="54"/>
      <c r="Z7" s="54"/>
      <c r="AA7" s="54"/>
      <c r="AB7" s="45"/>
    </row>
    <row r="8" customHeight="1" spans="1:28">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row>
    <row r="9" customHeight="1" spans="1:28">
      <c r="A9" s="45"/>
      <c r="B9" s="83" t="s">
        <v>24</v>
      </c>
      <c r="C9" s="83"/>
      <c r="D9" s="89" t="s">
        <v>25</v>
      </c>
      <c r="E9" s="84"/>
      <c r="F9" s="84"/>
      <c r="G9" s="84"/>
      <c r="H9" s="89" t="s">
        <v>26</v>
      </c>
      <c r="I9" s="84"/>
      <c r="J9" s="84"/>
      <c r="K9" s="84"/>
      <c r="L9" s="91" t="s">
        <v>27</v>
      </c>
      <c r="M9" s="92"/>
      <c r="N9" s="54"/>
      <c r="O9" s="54"/>
      <c r="P9" s="54"/>
      <c r="Q9" s="54"/>
      <c r="R9" s="54"/>
      <c r="S9" s="54"/>
      <c r="T9" s="54"/>
      <c r="U9" s="54"/>
      <c r="V9" s="54"/>
      <c r="W9" s="54"/>
      <c r="X9" s="54"/>
      <c r="Y9" s="54"/>
      <c r="Z9" s="54"/>
      <c r="AA9" s="54"/>
      <c r="AB9" s="45"/>
    </row>
    <row r="10" customHeight="1" spans="1:28">
      <c r="A10" s="45"/>
      <c r="B10" s="83"/>
      <c r="C10" s="83"/>
      <c r="D10" s="89" t="s">
        <v>28</v>
      </c>
      <c r="E10" s="84"/>
      <c r="F10" s="84"/>
      <c r="G10" s="84"/>
      <c r="H10" s="89" t="s">
        <v>29</v>
      </c>
      <c r="I10" s="84"/>
      <c r="J10" s="84"/>
      <c r="K10" s="84"/>
      <c r="L10" s="92"/>
      <c r="M10" s="92"/>
      <c r="N10" s="54"/>
      <c r="O10" s="54"/>
      <c r="P10" s="54"/>
      <c r="Q10" s="54"/>
      <c r="R10" s="54"/>
      <c r="S10" s="54"/>
      <c r="T10" s="54"/>
      <c r="U10" s="54"/>
      <c r="V10" s="54"/>
      <c r="W10" s="54"/>
      <c r="X10" s="54"/>
      <c r="Y10" s="54"/>
      <c r="Z10" s="54"/>
      <c r="AA10" s="54"/>
      <c r="AB10" s="45"/>
    </row>
    <row r="11" customHeight="1" spans="1:28">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row>
    <row r="12" customHeight="1" spans="1:28">
      <c r="A12" s="93"/>
      <c r="B12" s="83" t="s">
        <v>30</v>
      </c>
      <c r="C12" s="83"/>
      <c r="D12" s="89" t="s">
        <v>31</v>
      </c>
      <c r="E12" s="89" t="s">
        <v>32</v>
      </c>
      <c r="F12" s="89" t="s">
        <v>33</v>
      </c>
      <c r="G12" s="89" t="s">
        <v>34</v>
      </c>
      <c r="H12" s="89" t="s">
        <v>35</v>
      </c>
      <c r="I12" s="89" t="s">
        <v>36</v>
      </c>
      <c r="J12" s="89" t="s">
        <v>37</v>
      </c>
      <c r="K12" s="83" t="s">
        <v>38</v>
      </c>
      <c r="L12" s="89" t="s">
        <v>39</v>
      </c>
      <c r="M12" s="94" t="s">
        <v>40</v>
      </c>
      <c r="N12" s="95" t="s">
        <v>41</v>
      </c>
      <c r="O12" s="88"/>
      <c r="P12" s="88"/>
      <c r="Q12" s="95" t="s">
        <v>42</v>
      </c>
      <c r="R12" s="88"/>
      <c r="S12" s="45"/>
      <c r="T12" s="85" t="s">
        <v>43</v>
      </c>
      <c r="U12" s="85"/>
      <c r="V12" s="88"/>
      <c r="W12" s="88"/>
      <c r="X12" s="88"/>
      <c r="Y12" s="88"/>
      <c r="Z12" s="88"/>
      <c r="AA12" s="88"/>
      <c r="AB12" s="45"/>
    </row>
    <row r="13" customHeight="1" spans="1:28">
      <c r="A13" s="93"/>
      <c r="B13" s="83" t="s">
        <v>44</v>
      </c>
      <c r="C13" s="83"/>
      <c r="D13" s="96"/>
      <c r="E13" s="97">
        <v>1</v>
      </c>
      <c r="F13" s="97"/>
      <c r="G13" s="98"/>
      <c r="H13" s="98"/>
      <c r="I13" s="99"/>
      <c r="J13" s="97"/>
      <c r="K13" s="100">
        <f t="shared" ref="K13:K21" si="0">D13+G13+H13-J13</f>
        <v>0</v>
      </c>
      <c r="L13" s="98">
        <f t="shared" ref="L13:L21" si="1">INT(K13/10)*E13</f>
        <v>0</v>
      </c>
      <c r="M13" s="94"/>
      <c r="N13" s="97"/>
      <c r="O13" s="97"/>
      <c r="P13" s="97"/>
      <c r="Q13" s="97"/>
      <c r="R13" s="97"/>
      <c r="S13" s="45">
        <v>80</v>
      </c>
      <c r="T13" s="85"/>
      <c r="U13" s="85"/>
      <c r="V13" s="88"/>
      <c r="W13" s="88"/>
      <c r="X13" s="88"/>
      <c r="Y13" s="88"/>
      <c r="Z13" s="88"/>
      <c r="AA13" s="88"/>
      <c r="AB13" s="45"/>
    </row>
    <row r="14" customHeight="1" spans="1:28">
      <c r="A14" s="45"/>
      <c r="B14" s="83" t="s">
        <v>45</v>
      </c>
      <c r="C14" s="83"/>
      <c r="D14" s="96"/>
      <c r="E14" s="97">
        <v>1</v>
      </c>
      <c r="F14" s="97"/>
      <c r="G14" s="98"/>
      <c r="H14" s="98"/>
      <c r="I14" s="99"/>
      <c r="J14" s="97"/>
      <c r="K14" s="100">
        <f t="shared" si="0"/>
        <v>0</v>
      </c>
      <c r="L14" s="98">
        <f t="shared" si="1"/>
        <v>0</v>
      </c>
      <c r="M14" s="94"/>
      <c r="N14" s="97"/>
      <c r="O14" s="97"/>
      <c r="P14" s="97"/>
      <c r="Q14" s="97"/>
      <c r="R14" s="97"/>
      <c r="S14" s="45">
        <v>80</v>
      </c>
      <c r="T14" s="85"/>
      <c r="U14" s="85"/>
      <c r="V14" s="88"/>
      <c r="W14" s="88"/>
      <c r="X14" s="88"/>
      <c r="Y14" s="88"/>
      <c r="Z14" s="88"/>
      <c r="AA14" s="88"/>
      <c r="AB14" s="45"/>
    </row>
    <row r="15" customHeight="1" spans="1:28">
      <c r="A15" s="45"/>
      <c r="B15" s="83" t="s">
        <v>46</v>
      </c>
      <c r="C15" s="83"/>
      <c r="D15" s="96"/>
      <c r="E15" s="97">
        <v>1</v>
      </c>
      <c r="F15" s="88"/>
      <c r="G15" s="98"/>
      <c r="H15" s="98"/>
      <c r="I15" s="101"/>
      <c r="J15" s="88"/>
      <c r="K15" s="100">
        <f t="shared" si="0"/>
        <v>0</v>
      </c>
      <c r="L15" s="98">
        <f t="shared" si="1"/>
        <v>0</v>
      </c>
      <c r="M15" s="88"/>
      <c r="N15" s="97"/>
      <c r="O15" s="97"/>
      <c r="P15" s="97"/>
      <c r="Q15" s="97"/>
      <c r="R15" s="97"/>
      <c r="S15" s="45">
        <v>80</v>
      </c>
      <c r="T15" s="85"/>
      <c r="U15" s="85"/>
      <c r="V15" s="88"/>
      <c r="W15" s="88"/>
      <c r="X15" s="88"/>
      <c r="Y15" s="88"/>
      <c r="Z15" s="88"/>
      <c r="AA15" s="88"/>
      <c r="AB15" s="45"/>
    </row>
    <row r="16" customHeight="1" spans="1:28">
      <c r="A16" s="45"/>
      <c r="B16" s="83" t="s">
        <v>47</v>
      </c>
      <c r="C16" s="83"/>
      <c r="D16" s="96"/>
      <c r="E16" s="97">
        <v>1</v>
      </c>
      <c r="F16" s="88"/>
      <c r="G16" s="98"/>
      <c r="H16" s="98"/>
      <c r="I16" s="101"/>
      <c r="J16" s="88"/>
      <c r="K16" s="100">
        <f t="shared" si="0"/>
        <v>0</v>
      </c>
      <c r="L16" s="98">
        <f t="shared" si="1"/>
        <v>0</v>
      </c>
      <c r="M16" s="88"/>
      <c r="N16" s="97"/>
      <c r="O16" s="97"/>
      <c r="P16" s="97"/>
      <c r="Q16" s="97"/>
      <c r="R16" s="97"/>
      <c r="S16" s="45">
        <v>80</v>
      </c>
      <c r="T16" s="85"/>
      <c r="U16" s="85"/>
      <c r="V16" s="88"/>
      <c r="W16" s="88"/>
      <c r="X16" s="88"/>
      <c r="Y16" s="88"/>
      <c r="Z16" s="88"/>
      <c r="AA16" s="88"/>
      <c r="AB16" s="45"/>
    </row>
    <row r="17" customHeight="1" spans="1:28">
      <c r="A17" s="45"/>
      <c r="B17" s="83" t="s">
        <v>48</v>
      </c>
      <c r="C17" s="83"/>
      <c r="D17" s="96"/>
      <c r="E17" s="97">
        <v>1</v>
      </c>
      <c r="F17" s="88"/>
      <c r="G17" s="98"/>
      <c r="H17" s="98"/>
      <c r="I17" s="101"/>
      <c r="J17" s="88"/>
      <c r="K17" s="100">
        <f t="shared" si="0"/>
        <v>0</v>
      </c>
      <c r="L17" s="98">
        <f t="shared" si="1"/>
        <v>0</v>
      </c>
      <c r="M17" s="102" t="s">
        <v>49</v>
      </c>
      <c r="N17" s="97"/>
      <c r="O17" s="97"/>
      <c r="P17" s="97"/>
      <c r="Q17" s="97"/>
      <c r="R17" s="97"/>
      <c r="S17" s="45">
        <v>80</v>
      </c>
      <c r="T17" s="85"/>
      <c r="U17" s="85"/>
      <c r="V17" s="88"/>
      <c r="W17" s="88"/>
      <c r="X17" s="88"/>
      <c r="Y17" s="88"/>
      <c r="Z17" s="88"/>
      <c r="AA17" s="88"/>
      <c r="AB17" s="45"/>
    </row>
    <row r="18" customHeight="1" spans="1:28">
      <c r="A18" s="93"/>
      <c r="B18" s="83" t="s">
        <v>50</v>
      </c>
      <c r="C18" s="83"/>
      <c r="D18" s="96"/>
      <c r="E18" s="97">
        <v>1</v>
      </c>
      <c r="F18" s="88"/>
      <c r="G18" s="98"/>
      <c r="H18" s="98"/>
      <c r="I18" s="101"/>
      <c r="J18" s="88"/>
      <c r="K18" s="100">
        <f t="shared" si="0"/>
        <v>0</v>
      </c>
      <c r="L18" s="98">
        <f t="shared" si="1"/>
        <v>0</v>
      </c>
      <c r="M18" s="102"/>
      <c r="N18" s="103"/>
      <c r="O18" s="97"/>
      <c r="P18" s="97"/>
      <c r="Q18" s="97"/>
      <c r="R18" s="97"/>
      <c r="S18" s="45">
        <v>80</v>
      </c>
      <c r="T18" s="85"/>
      <c r="U18" s="85"/>
      <c r="V18" s="88"/>
      <c r="W18" s="88"/>
      <c r="X18" s="88"/>
      <c r="Y18" s="88"/>
      <c r="Z18" s="88"/>
      <c r="AA18" s="88"/>
      <c r="AB18" s="45"/>
    </row>
    <row r="19" customHeight="1" spans="1:28">
      <c r="A19" s="45"/>
      <c r="B19" s="83" t="s">
        <v>51</v>
      </c>
      <c r="C19" s="83"/>
      <c r="D19" s="96"/>
      <c r="E19" s="97">
        <v>1</v>
      </c>
      <c r="F19" s="97"/>
      <c r="G19" s="98"/>
      <c r="H19" s="98"/>
      <c r="I19" s="101"/>
      <c r="J19" s="97"/>
      <c r="K19" s="100">
        <f t="shared" si="0"/>
        <v>0</v>
      </c>
      <c r="L19" s="98">
        <f t="shared" si="1"/>
        <v>0</v>
      </c>
      <c r="M19" s="102"/>
      <c r="N19" s="97"/>
      <c r="O19" s="97"/>
      <c r="P19" s="97"/>
      <c r="Q19" s="97"/>
      <c r="R19" s="97"/>
      <c r="S19" s="45">
        <v>80</v>
      </c>
      <c r="T19" s="85"/>
      <c r="U19" s="85"/>
      <c r="V19" s="88"/>
      <c r="W19" s="88"/>
      <c r="X19" s="88"/>
      <c r="Y19" s="88"/>
      <c r="Z19" s="88"/>
      <c r="AA19" s="88"/>
      <c r="AB19" s="45"/>
    </row>
    <row r="20" customHeight="1" spans="1:28">
      <c r="A20" s="45"/>
      <c r="B20" s="83" t="s">
        <v>52</v>
      </c>
      <c r="C20" s="83"/>
      <c r="D20" s="96"/>
      <c r="E20" s="97">
        <v>1</v>
      </c>
      <c r="F20" s="88"/>
      <c r="G20" s="98"/>
      <c r="H20" s="98"/>
      <c r="I20" s="101"/>
      <c r="J20" s="88"/>
      <c r="K20" s="100">
        <f t="shared" si="0"/>
        <v>0</v>
      </c>
      <c r="L20" s="98">
        <f t="shared" si="1"/>
        <v>0</v>
      </c>
      <c r="M20" s="88"/>
      <c r="N20" s="97"/>
      <c r="O20" s="97"/>
      <c r="P20" s="97"/>
      <c r="Q20" s="97"/>
      <c r="R20" s="97"/>
      <c r="S20" s="45">
        <v>80</v>
      </c>
      <c r="T20" s="85"/>
      <c r="U20" s="85"/>
      <c r="V20" s="88"/>
      <c r="W20" s="88"/>
      <c r="X20" s="88"/>
      <c r="Y20" s="88"/>
      <c r="Z20" s="88"/>
      <c r="AA20" s="88"/>
      <c r="AB20" s="45"/>
    </row>
    <row r="21" customHeight="1" spans="1:28">
      <c r="A21" s="45"/>
      <c r="B21" s="83" t="s">
        <v>53</v>
      </c>
      <c r="C21" s="83"/>
      <c r="D21" s="96"/>
      <c r="E21" s="97">
        <v>1</v>
      </c>
      <c r="F21" s="88"/>
      <c r="G21" s="98"/>
      <c r="H21" s="98"/>
      <c r="I21" s="101"/>
      <c r="J21" s="88"/>
      <c r="K21" s="100">
        <f t="shared" si="0"/>
        <v>0</v>
      </c>
      <c r="L21" s="98">
        <f t="shared" si="1"/>
        <v>0</v>
      </c>
      <c r="M21" s="88"/>
      <c r="N21" s="97"/>
      <c r="O21" s="97"/>
      <c r="P21" s="97"/>
      <c r="Q21" s="97"/>
      <c r="R21" s="97"/>
      <c r="S21" s="45">
        <v>80</v>
      </c>
      <c r="T21" s="85"/>
      <c r="U21" s="85"/>
      <c r="V21" s="88"/>
      <c r="W21" s="88"/>
      <c r="X21" s="88"/>
      <c r="Y21" s="88"/>
      <c r="Z21" s="88"/>
      <c r="AA21" s="88"/>
      <c r="AB21" s="45"/>
    </row>
    <row r="22" customHeight="1" spans="1:28">
      <c r="A22" s="45"/>
      <c r="B22" s="45"/>
      <c r="C22" s="45"/>
      <c r="D22" s="45"/>
      <c r="E22" s="45"/>
      <c r="F22" s="45"/>
      <c r="G22" s="45"/>
      <c r="H22" s="45"/>
      <c r="I22" s="95">
        <f>SUM(I13:I21)</f>
        <v>0</v>
      </c>
      <c r="J22" s="45"/>
      <c r="K22" s="45"/>
      <c r="L22" s="45"/>
      <c r="M22" s="45"/>
      <c r="N22" s="45"/>
      <c r="O22" s="45"/>
      <c r="P22" s="45"/>
      <c r="Q22" s="45"/>
      <c r="R22" s="45"/>
      <c r="S22" s="45"/>
      <c r="T22" s="45"/>
      <c r="U22" s="45"/>
      <c r="V22" s="45"/>
      <c r="W22" s="59" t="s">
        <v>1</v>
      </c>
      <c r="X22" s="59"/>
      <c r="Y22" s="59"/>
      <c r="Z22" s="59"/>
      <c r="AA22" s="59"/>
      <c r="AB22" s="45"/>
    </row>
    <row r="23" customHeight="1" spans="1:28">
      <c r="A23" s="45"/>
      <c r="B23" s="83" t="s">
        <v>54</v>
      </c>
      <c r="C23" s="83"/>
      <c r="D23" s="83"/>
      <c r="E23" s="83"/>
      <c r="F23" s="83"/>
      <c r="G23" s="83"/>
      <c r="H23" s="83"/>
      <c r="I23" s="83"/>
      <c r="J23" s="83"/>
      <c r="K23" s="83"/>
      <c r="L23" s="83"/>
      <c r="M23" s="83"/>
      <c r="N23" s="83"/>
      <c r="O23" s="83"/>
      <c r="P23" s="83"/>
      <c r="Q23" s="83"/>
      <c r="R23" s="83"/>
      <c r="S23" s="45"/>
      <c r="T23" s="83" t="s">
        <v>55</v>
      </c>
      <c r="U23" s="83"/>
      <c r="V23" s="83"/>
      <c r="W23" s="83"/>
      <c r="X23" s="83"/>
      <c r="Y23" s="83"/>
      <c r="Z23" s="83"/>
      <c r="AA23" s="83"/>
      <c r="AB23" s="45"/>
    </row>
    <row r="24" customHeight="1" spans="1:28">
      <c r="A24" s="45"/>
      <c r="B24" s="104" t="s">
        <v>56</v>
      </c>
      <c r="C24" s="104"/>
      <c r="D24" s="105" t="s">
        <v>31</v>
      </c>
      <c r="E24" s="106"/>
      <c r="F24" s="105" t="s">
        <v>34</v>
      </c>
      <c r="G24" s="106"/>
      <c r="H24" s="105" t="s">
        <v>33</v>
      </c>
      <c r="I24" s="84"/>
      <c r="J24" s="107" t="s">
        <v>37</v>
      </c>
      <c r="K24" s="106"/>
      <c r="L24" s="105" t="s">
        <v>33</v>
      </c>
      <c r="M24" s="106"/>
      <c r="N24" s="105" t="s">
        <v>57</v>
      </c>
      <c r="O24" s="105"/>
      <c r="P24" s="106">
        <f>E24+G24-K24</f>
        <v>0</v>
      </c>
      <c r="Q24" s="104" t="s">
        <v>16</v>
      </c>
      <c r="R24" s="105"/>
      <c r="S24" s="45"/>
      <c r="T24" s="108" t="s">
        <v>58</v>
      </c>
      <c r="U24" s="108"/>
      <c r="V24" s="109"/>
      <c r="W24" s="84"/>
      <c r="X24" s="84"/>
      <c r="Y24" s="108" t="s">
        <v>59</v>
      </c>
      <c r="Z24" s="108"/>
      <c r="AA24" s="105"/>
      <c r="AB24" s="45"/>
    </row>
    <row r="25" customHeight="1" spans="1:28">
      <c r="A25" s="45"/>
      <c r="B25" s="104" t="s">
        <v>60</v>
      </c>
      <c r="C25" s="104"/>
      <c r="D25" s="110" t="s">
        <v>61</v>
      </c>
      <c r="E25" s="84"/>
      <c r="F25" s="110" t="s">
        <v>62</v>
      </c>
      <c r="G25" s="84"/>
      <c r="H25" s="110" t="s">
        <v>63</v>
      </c>
      <c r="I25" s="84"/>
      <c r="J25" s="110" t="s">
        <v>64</v>
      </c>
      <c r="K25" s="84"/>
      <c r="L25" s="110" t="s">
        <v>65</v>
      </c>
      <c r="M25" s="84"/>
      <c r="N25" s="110" t="s">
        <v>66</v>
      </c>
      <c r="O25" s="84"/>
      <c r="P25" s="92" t="s">
        <v>67</v>
      </c>
      <c r="Q25" s="92"/>
      <c r="R25" s="84">
        <v>0</v>
      </c>
      <c r="S25" s="45"/>
      <c r="T25" s="108" t="s">
        <v>68</v>
      </c>
      <c r="U25" s="108"/>
      <c r="V25" s="109"/>
      <c r="W25" s="84"/>
      <c r="X25" s="84"/>
      <c r="Y25" s="108" t="s">
        <v>69</v>
      </c>
      <c r="Z25" s="108"/>
      <c r="AA25" s="105"/>
      <c r="AB25" s="45"/>
    </row>
    <row r="26" customHeight="1" spans="1:28">
      <c r="A26" s="45"/>
      <c r="B26" s="92" t="s">
        <v>70</v>
      </c>
      <c r="C26" s="92"/>
      <c r="D26" s="110"/>
      <c r="E26" s="84"/>
      <c r="F26" s="110"/>
      <c r="G26" s="84"/>
      <c r="H26" s="110"/>
      <c r="I26" s="84"/>
      <c r="J26" s="110"/>
      <c r="K26" s="84"/>
      <c r="L26" s="110"/>
      <c r="M26" s="84"/>
      <c r="N26" s="110"/>
      <c r="O26" s="84"/>
      <c r="P26" s="92" t="s">
        <v>71</v>
      </c>
      <c r="Q26" s="92"/>
      <c r="R26" s="84" t="s">
        <v>72</v>
      </c>
      <c r="S26" s="45"/>
      <c r="T26" s="108" t="s">
        <v>73</v>
      </c>
      <c r="U26" s="108"/>
      <c r="V26" s="109"/>
      <c r="W26" s="84"/>
      <c r="X26" s="84"/>
      <c r="Y26" s="108" t="s">
        <v>74</v>
      </c>
      <c r="Z26" s="108"/>
      <c r="AA26" s="105"/>
      <c r="AB26" s="45"/>
    </row>
    <row r="27" customHeight="1" spans="1:28">
      <c r="A27" s="45"/>
      <c r="B27" s="92" t="s">
        <v>75</v>
      </c>
      <c r="C27" s="92"/>
      <c r="D27" s="110"/>
      <c r="E27" s="84"/>
      <c r="F27" s="110"/>
      <c r="G27" s="84"/>
      <c r="H27" s="110"/>
      <c r="I27" s="84"/>
      <c r="J27" s="110"/>
      <c r="K27" s="84"/>
      <c r="L27" s="110"/>
      <c r="M27" s="84"/>
      <c r="N27" s="110"/>
      <c r="O27" s="84"/>
      <c r="P27" s="83" t="s">
        <v>76</v>
      </c>
      <c r="Q27" s="83"/>
      <c r="R27" s="98">
        <f>L16</f>
        <v>0</v>
      </c>
      <c r="S27" s="45"/>
      <c r="T27" s="108" t="s">
        <v>77</v>
      </c>
      <c r="U27" s="108"/>
      <c r="V27" s="109"/>
      <c r="W27" s="84"/>
      <c r="X27" s="84"/>
      <c r="Y27" s="108" t="s">
        <v>77</v>
      </c>
      <c r="Z27" s="108"/>
      <c r="AA27" s="111"/>
      <c r="AB27" s="45"/>
    </row>
    <row r="28" customHeight="1" spans="1:28">
      <c r="A28" s="45"/>
      <c r="B28" s="45"/>
      <c r="C28" s="45"/>
      <c r="D28" s="45"/>
      <c r="E28" s="45"/>
      <c r="F28" s="45"/>
      <c r="G28" s="45"/>
      <c r="H28" s="45"/>
      <c r="I28" s="45"/>
      <c r="J28" s="45"/>
      <c r="K28" s="45"/>
      <c r="L28" s="45"/>
      <c r="M28" s="45"/>
      <c r="N28" s="45"/>
      <c r="O28" s="45"/>
      <c r="P28" s="45"/>
      <c r="Q28" s="45"/>
      <c r="R28" s="95"/>
      <c r="S28" s="45"/>
      <c r="T28" s="45"/>
      <c r="U28" s="45"/>
      <c r="V28" s="45"/>
      <c r="W28" s="45"/>
      <c r="X28" s="45"/>
      <c r="Y28" s="45"/>
      <c r="Z28" s="45"/>
      <c r="AA28" s="45"/>
      <c r="AB28" s="45"/>
    </row>
    <row r="29" customHeight="1" spans="1:28">
      <c r="A29" s="45"/>
      <c r="B29" s="83" t="s">
        <v>78</v>
      </c>
      <c r="C29" s="83"/>
      <c r="D29" s="112" t="s">
        <v>79</v>
      </c>
      <c r="E29" s="113"/>
      <c r="F29" s="112" t="s">
        <v>80</v>
      </c>
      <c r="G29" s="113"/>
      <c r="H29" s="112" t="s">
        <v>81</v>
      </c>
      <c r="I29" s="113"/>
      <c r="J29" s="112" t="s">
        <v>82</v>
      </c>
      <c r="K29" s="113"/>
      <c r="L29" s="112" t="s">
        <v>83</v>
      </c>
      <c r="M29" s="113"/>
      <c r="N29" s="112" t="s">
        <v>84</v>
      </c>
      <c r="O29" s="113"/>
      <c r="P29" s="112" t="s">
        <v>85</v>
      </c>
      <c r="Q29" s="113"/>
      <c r="R29" s="112" t="s">
        <v>33</v>
      </c>
      <c r="S29" s="59"/>
      <c r="T29" s="96" t="s">
        <v>86</v>
      </c>
      <c r="U29" s="96"/>
      <c r="V29" s="114">
        <f>VLOOKUP(V31,人物数据!C2:F22,2,FALSE())</f>
        <v>0.9</v>
      </c>
      <c r="W29" s="114"/>
      <c r="X29" s="96" t="s">
        <v>87</v>
      </c>
      <c r="Y29" s="96"/>
      <c r="Z29" s="114">
        <f>武备!Q4+武备!Q14+SUM(武备!Q25:Q29)+SUM(武备!Q33:Q34)+SUM(武备!Q38:Q49)+SUM(武备!Q53:Q67)</f>
        <v>0</v>
      </c>
      <c r="AA29" s="114"/>
      <c r="AB29" s="45"/>
    </row>
    <row r="30" customHeight="1" spans="1:28">
      <c r="A30" s="45"/>
      <c r="B30" s="83" t="s">
        <v>88</v>
      </c>
      <c r="C30" s="83"/>
      <c r="D30" s="115">
        <f>L17</f>
        <v>0</v>
      </c>
      <c r="E30" s="115"/>
      <c r="F30" s="115">
        <f>D30*2</f>
        <v>0</v>
      </c>
      <c r="G30" s="115"/>
      <c r="H30" s="115">
        <f>D30*3</f>
        <v>0</v>
      </c>
      <c r="I30" s="115"/>
      <c r="J30" s="115">
        <f>D30*6</f>
        <v>0</v>
      </c>
      <c r="K30" s="115"/>
      <c r="L30" s="115" t="str">
        <f>VLOOKUP(L17,人物数据!H2:O12,6,FALSE())</f>
        <v>12m</v>
      </c>
      <c r="M30" s="115"/>
      <c r="N30" s="115" t="str">
        <f>VLOOKUP(L17,人物数据!H2:O12,7,FALSE())</f>
        <v>0.75km</v>
      </c>
      <c r="O30" s="115"/>
      <c r="P30" s="115" t="str">
        <f>VLOOKUP(L17,人物数据!H2:O12,8,FALSE())</f>
        <v>7km</v>
      </c>
      <c r="Q30" s="115"/>
      <c r="R30" s="115" t="s">
        <v>89</v>
      </c>
      <c r="S30" s="59"/>
      <c r="T30" s="96" t="s">
        <v>90</v>
      </c>
      <c r="U30" s="96"/>
      <c r="V30" s="86" t="s">
        <v>91</v>
      </c>
      <c r="W30" s="86"/>
      <c r="X30" s="86" t="s">
        <v>92</v>
      </c>
      <c r="Y30" s="86"/>
      <c r="Z30" s="86" t="s">
        <v>93</v>
      </c>
      <c r="AA30" s="86"/>
      <c r="AB30" s="45"/>
    </row>
    <row r="31" customHeight="1" spans="1:28">
      <c r="A31" s="45"/>
      <c r="B31" s="83" t="s">
        <v>94</v>
      </c>
      <c r="C31" s="83"/>
      <c r="D31" s="116" t="s">
        <v>95</v>
      </c>
      <c r="E31" s="116"/>
      <c r="F31" s="116" t="s">
        <v>95</v>
      </c>
      <c r="G31" s="116"/>
      <c r="H31" s="116" t="s">
        <v>95</v>
      </c>
      <c r="I31" s="116"/>
      <c r="J31" s="116">
        <f>J30*2</f>
        <v>0</v>
      </c>
      <c r="K31" s="116"/>
      <c r="L31" s="116" t="s">
        <v>95</v>
      </c>
      <c r="M31" s="116"/>
      <c r="N31" s="116" t="s">
        <v>95</v>
      </c>
      <c r="O31" s="116"/>
      <c r="P31" s="116" t="s">
        <v>95</v>
      </c>
      <c r="Q31" s="116"/>
      <c r="R31" s="116" t="s">
        <v>89</v>
      </c>
      <c r="S31" s="59"/>
      <c r="T31" s="96"/>
      <c r="U31" s="96"/>
      <c r="V31" s="114">
        <f>L15+L16</f>
        <v>0</v>
      </c>
      <c r="W31" s="114"/>
      <c r="X31" s="114">
        <f>VLOOKUP(V31,人物数据!C2:F22,3,FALSE())</f>
        <v>2.25</v>
      </c>
      <c r="Y31" s="114"/>
      <c r="Z31" s="114">
        <f>VLOOKUP(V31,人物数据!C2:F22,4,FALSE())</f>
        <v>4.5</v>
      </c>
      <c r="AA31" s="114"/>
      <c r="AB31" s="45"/>
    </row>
    <row r="32" customHeight="1" spans="1:28">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row>
    <row r="33" customHeight="1" spans="1:28">
      <c r="A33" s="45"/>
      <c r="B33" s="83" t="s">
        <v>96</v>
      </c>
      <c r="C33" s="83"/>
      <c r="D33" s="89" t="s">
        <v>31</v>
      </c>
      <c r="E33" s="92"/>
      <c r="F33" s="89" t="s">
        <v>97</v>
      </c>
      <c r="G33" s="92"/>
      <c r="H33" s="89" t="s">
        <v>98</v>
      </c>
      <c r="I33" s="92"/>
      <c r="J33" s="89" t="s">
        <v>99</v>
      </c>
      <c r="K33" s="92"/>
      <c r="L33" s="89" t="s">
        <v>77</v>
      </c>
      <c r="M33" s="92"/>
      <c r="N33" s="83" t="s">
        <v>38</v>
      </c>
      <c r="O33" s="83"/>
      <c r="P33" s="83"/>
      <c r="Q33" s="83"/>
      <c r="R33" s="83"/>
      <c r="S33" s="45"/>
      <c r="T33" s="83" t="s">
        <v>100</v>
      </c>
      <c r="U33" s="83"/>
      <c r="V33" s="83"/>
      <c r="W33" s="83"/>
      <c r="X33" s="83"/>
      <c r="Y33" s="83"/>
      <c r="Z33" s="83"/>
      <c r="AA33" s="83"/>
      <c r="AB33" s="45"/>
    </row>
    <row r="34" customHeight="1" spans="1:28">
      <c r="A34" s="45"/>
      <c r="B34" s="83"/>
      <c r="C34" s="83"/>
      <c r="D34" s="117">
        <f>L17</f>
        <v>0</v>
      </c>
      <c r="E34" s="117"/>
      <c r="F34" s="117" t="s">
        <v>101</v>
      </c>
      <c r="G34" s="117"/>
      <c r="H34" s="117" t="s">
        <v>101</v>
      </c>
      <c r="I34" s="117"/>
      <c r="J34" s="117" t="s">
        <v>101</v>
      </c>
      <c r="K34" s="117"/>
      <c r="L34" s="117" t="s">
        <v>102</v>
      </c>
      <c r="M34" s="117"/>
      <c r="N34" s="118" t="str">
        <f>"1D10+"&amp;(IF(H34="是",D34*2,D34)+IF(F34="是",2,0)+IF(J34="是",1,0)+IF(ISNUMBER(L34),L34,0))</f>
        <v>1D10+0</v>
      </c>
      <c r="O34" s="118"/>
      <c r="P34" s="118"/>
      <c r="Q34" s="118"/>
      <c r="R34" s="118"/>
      <c r="S34" s="45"/>
      <c r="T34" s="104" t="s">
        <v>103</v>
      </c>
      <c r="U34" s="104" t="s">
        <v>104</v>
      </c>
      <c r="V34" s="104" t="s">
        <v>105</v>
      </c>
      <c r="W34" s="104" t="s">
        <v>106</v>
      </c>
      <c r="X34" s="119" t="s">
        <v>107</v>
      </c>
      <c r="Y34" s="104"/>
      <c r="Z34" s="104"/>
      <c r="AA34" s="104"/>
      <c r="AB34" s="45"/>
    </row>
    <row r="35" customHeight="1" spans="1:28">
      <c r="A35" s="45"/>
      <c r="B35" s="45"/>
      <c r="C35" s="45"/>
      <c r="D35" s="45"/>
      <c r="E35" s="45"/>
      <c r="F35" s="45"/>
      <c r="G35" s="45"/>
      <c r="H35" s="45"/>
      <c r="I35" s="45"/>
      <c r="J35" s="45"/>
      <c r="K35" s="45"/>
      <c r="L35" s="45"/>
      <c r="M35" s="45"/>
      <c r="N35" s="45"/>
      <c r="O35" s="45"/>
      <c r="P35" s="45"/>
      <c r="Q35" s="45"/>
      <c r="R35" s="45"/>
      <c r="S35" s="45"/>
      <c r="T35" s="120">
        <v>1</v>
      </c>
      <c r="U35" s="121"/>
      <c r="V35" s="121"/>
      <c r="W35" s="121"/>
      <c r="X35" s="122" t="str">
        <f>TEXT(SUM(U$35:W35),"0")&amp;"/"</f>
        <v>0/</v>
      </c>
      <c r="Y35" s="122"/>
      <c r="Z35" s="123">
        <v>500</v>
      </c>
      <c r="AA35" s="123"/>
      <c r="AB35" s="124"/>
    </row>
    <row r="36" customHeight="1" spans="1:28">
      <c r="A36" s="45" t="str">
        <f>".st"&amp;"格斗"&amp;K13&amp;"近战"&amp;K13&amp;"射击"&amp;K14&amp;"远程"&amp;K14&amp;"力量"&amp;K15&amp;"坚韧"&amp;K16&amp;"敏捷"&amp;K17&amp;"智力"&amp;K18&amp;"感知"&amp;K19&amp;"意志"&amp;K20&amp;"交际"&amp;K21&amp;"生命值"&amp;R24&amp;"生命值上限"&amp;P24&amp;"命运点"&amp;M20&amp;"命运点上限"&amp;M15&amp;"威胁"&amp;I38&amp;"恐吓"&amp;I38&amp;"攀爬"&amp;I39&amp;"运动"&amp;I39&amp;B40&amp;I40&amp;"酗酒"&amp;I41&amp;"狂饮"&amp;I41&amp;B42&amp;I42&amp;B43&amp;I43&amp;B44&amp;I44&amp;B45&amp;I45&amp;B46&amp;I46&amp;B47&amp;I47&amp;B48&amp;I48&amp;"搜查"&amp;I49&amp;"搜索"&amp;I49&amp;B50&amp;I50&amp;B51&amp;I51&amp;B52&amp;I52&amp;B53&amp;I53&amp;B54&amp;I54&amp;B55&amp;I55&amp;B56&amp;I56&amp;B57&amp;I57&amp;A71</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B36" s="83" t="s">
        <v>108</v>
      </c>
      <c r="C36" s="83"/>
      <c r="D36" s="83"/>
      <c r="E36" s="83"/>
      <c r="F36" s="83"/>
      <c r="G36" s="83"/>
      <c r="H36" s="83"/>
      <c r="I36" s="83"/>
      <c r="J36" s="83"/>
      <c r="K36" s="83"/>
      <c r="L36" s="83"/>
      <c r="M36" s="83"/>
      <c r="N36" s="83"/>
      <c r="O36" s="83"/>
      <c r="P36" s="83"/>
      <c r="Q36" s="83"/>
      <c r="R36" s="83"/>
      <c r="S36" s="45"/>
      <c r="T36" s="120">
        <v>2</v>
      </c>
      <c r="U36" s="121"/>
      <c r="V36" s="121"/>
      <c r="W36" s="121"/>
      <c r="X36" s="122" t="str">
        <f>TEXT(SUM(U$35:W36),"0")&amp;"/"</f>
        <v>0/</v>
      </c>
      <c r="Y36" s="122"/>
      <c r="Z36" s="123">
        <v>1000</v>
      </c>
      <c r="AA36" s="123"/>
      <c r="AB36" s="124"/>
    </row>
    <row r="37" customHeight="1" spans="1:28">
      <c r="A37" s="45"/>
      <c r="B37" s="125" t="s">
        <v>109</v>
      </c>
      <c r="C37" s="125"/>
      <c r="D37" s="125" t="s">
        <v>104</v>
      </c>
      <c r="E37" s="125" t="s">
        <v>110</v>
      </c>
      <c r="F37" s="125" t="s">
        <v>111</v>
      </c>
      <c r="G37" s="125" t="s">
        <v>112</v>
      </c>
      <c r="H37" s="125" t="s">
        <v>106</v>
      </c>
      <c r="I37" s="126" t="s">
        <v>113</v>
      </c>
      <c r="J37" s="125" t="s">
        <v>114</v>
      </c>
      <c r="K37" s="125"/>
      <c r="L37" s="125"/>
      <c r="M37" s="125"/>
      <c r="N37" s="125"/>
      <c r="O37" s="125"/>
      <c r="P37" s="125"/>
      <c r="Q37" s="125"/>
      <c r="R37" s="125" t="s">
        <v>36</v>
      </c>
      <c r="S37" s="45"/>
      <c r="T37" s="120">
        <v>3</v>
      </c>
      <c r="U37" s="121"/>
      <c r="V37" s="121"/>
      <c r="W37" s="121"/>
      <c r="X37" s="122" t="str">
        <f>TEXT(SUM(U$35:W37),"0")&amp;"/"</f>
        <v>0/</v>
      </c>
      <c r="Y37" s="122"/>
      <c r="Z37" s="123">
        <v>2000</v>
      </c>
      <c r="AA37" s="123"/>
      <c r="AB37" s="124"/>
    </row>
    <row r="38" customHeight="1" spans="1:28">
      <c r="A38" s="45"/>
      <c r="B38" s="98" t="s">
        <v>115</v>
      </c>
      <c r="C38" s="98"/>
      <c r="D38" s="98" t="s">
        <v>116</v>
      </c>
      <c r="E38" s="106"/>
      <c r="F38" s="106"/>
      <c r="G38" s="127"/>
      <c r="H38" s="127"/>
      <c r="I38" s="128">
        <f>IF(E38&lt;&gt;"",K15,ROUNDUP(K15/2,0))+IF(F38&lt;&gt;"",10,0)+IF(G38&lt;&gt;"",10,0)+IF(H38&lt;&gt;"",10,0)</f>
        <v>0</v>
      </c>
      <c r="J38" s="106"/>
      <c r="K38" s="106"/>
      <c r="L38" s="106"/>
      <c r="M38" s="106"/>
      <c r="N38" s="106"/>
      <c r="O38" s="106"/>
      <c r="P38" s="106"/>
      <c r="Q38" s="106"/>
      <c r="R38" s="84">
        <f t="shared" ref="R38:R57" si="2">E38+F38+G38+H38</f>
        <v>0</v>
      </c>
      <c r="S38" s="45"/>
      <c r="T38" s="120">
        <v>4</v>
      </c>
      <c r="U38" s="121"/>
      <c r="V38" s="121"/>
      <c r="W38" s="121"/>
      <c r="X38" s="122" t="str">
        <f>TEXT(SUM(U$35:W38),"0")&amp;"/"</f>
        <v>0/</v>
      </c>
      <c r="Y38" s="122"/>
      <c r="Z38" s="123">
        <v>3000</v>
      </c>
      <c r="AA38" s="123"/>
      <c r="AB38" s="124"/>
    </row>
    <row r="39" customHeight="1" spans="1:28">
      <c r="A39" s="45"/>
      <c r="B39" s="98" t="s">
        <v>117</v>
      </c>
      <c r="C39" s="98"/>
      <c r="D39" s="98" t="s">
        <v>116</v>
      </c>
      <c r="E39" s="106"/>
      <c r="F39" s="106"/>
      <c r="G39" s="127"/>
      <c r="H39" s="127"/>
      <c r="I39" s="128">
        <f>IF(E39&lt;&gt;"",K15,ROUNDUP(K15/2,0))+IF(F39&lt;&gt;"",10,0)+IF(G39&lt;&gt;"",10,0)+IF(H39&lt;&gt;"",10,0)</f>
        <v>0</v>
      </c>
      <c r="J39" s="106"/>
      <c r="K39" s="106"/>
      <c r="L39" s="106"/>
      <c r="M39" s="106"/>
      <c r="N39" s="106"/>
      <c r="O39" s="106"/>
      <c r="P39" s="106"/>
      <c r="Q39" s="106"/>
      <c r="R39" s="84">
        <f t="shared" si="2"/>
        <v>0</v>
      </c>
      <c r="S39" s="45"/>
      <c r="T39" s="120">
        <v>5</v>
      </c>
      <c r="U39" s="121"/>
      <c r="V39" s="121"/>
      <c r="W39" s="121"/>
      <c r="X39" s="122" t="str">
        <f>TEXT(SUM(U$35:W39),"0")&amp;"/"</f>
        <v>0/</v>
      </c>
      <c r="Y39" s="122"/>
      <c r="Z39" s="123">
        <v>5000</v>
      </c>
      <c r="AA39" s="123"/>
      <c r="AB39" s="124"/>
    </row>
    <row r="40" customHeight="1" spans="1:28">
      <c r="A40" s="45"/>
      <c r="B40" s="98" t="s">
        <v>118</v>
      </c>
      <c r="C40" s="98"/>
      <c r="D40" s="98" t="s">
        <v>116</v>
      </c>
      <c r="E40" s="106"/>
      <c r="F40" s="106"/>
      <c r="G40" s="127"/>
      <c r="H40" s="127"/>
      <c r="I40" s="128">
        <f>IF(E40&lt;&gt;"",K15,ROUNDUP(K15/2,0))+IF(F40&lt;&gt;"",10,0)+IF(G40&lt;&gt;"",10,0)+IF(H40&lt;&gt;"",10,0)</f>
        <v>0</v>
      </c>
      <c r="J40" s="106"/>
      <c r="K40" s="106"/>
      <c r="L40" s="106"/>
      <c r="M40" s="106"/>
      <c r="N40" s="106"/>
      <c r="O40" s="106"/>
      <c r="P40" s="106"/>
      <c r="Q40" s="106"/>
      <c r="R40" s="84">
        <f t="shared" si="2"/>
        <v>0</v>
      </c>
      <c r="S40" s="45"/>
      <c r="T40" s="120">
        <v>6</v>
      </c>
      <c r="U40" s="121"/>
      <c r="V40" s="121"/>
      <c r="W40" s="121"/>
      <c r="X40" s="122" t="str">
        <f>TEXT(SUM(U$35:W40),"0")&amp;"/"</f>
        <v>0/</v>
      </c>
      <c r="Y40" s="122"/>
      <c r="Z40" s="123">
        <v>7000</v>
      </c>
      <c r="AA40" s="123"/>
      <c r="AB40" s="124"/>
    </row>
    <row r="41" customHeight="1" spans="1:28">
      <c r="A41" s="45"/>
      <c r="B41" s="98" t="s">
        <v>119</v>
      </c>
      <c r="C41" s="98"/>
      <c r="D41" s="98" t="s">
        <v>120</v>
      </c>
      <c r="E41" s="106"/>
      <c r="F41" s="106"/>
      <c r="G41" s="106"/>
      <c r="H41" s="106"/>
      <c r="I41" s="128">
        <f>IF(E41&lt;&gt;"",K16,ROUNDUP(K16/2,0))+IF(F41&lt;&gt;"",10,0)+IF(G41&lt;&gt;"",10,0)+IF(H41&lt;&gt;"",10,0)</f>
        <v>0</v>
      </c>
      <c r="J41" s="106"/>
      <c r="K41" s="106"/>
      <c r="L41" s="106"/>
      <c r="M41" s="106"/>
      <c r="N41" s="106"/>
      <c r="O41" s="106"/>
      <c r="P41" s="106"/>
      <c r="Q41" s="106"/>
      <c r="R41" s="84">
        <f t="shared" si="2"/>
        <v>0</v>
      </c>
      <c r="S41" s="45"/>
      <c r="T41" s="120">
        <v>7</v>
      </c>
      <c r="U41" s="121"/>
      <c r="V41" s="121"/>
      <c r="W41" s="121"/>
      <c r="X41" s="122" t="str">
        <f>TEXT(SUM(U$35:W41),"0")&amp;"/"</f>
        <v>0/</v>
      </c>
      <c r="Y41" s="122"/>
      <c r="Z41" s="123">
        <v>10000</v>
      </c>
      <c r="AA41" s="123"/>
      <c r="AB41" s="124"/>
    </row>
    <row r="42" customHeight="1" spans="1:28">
      <c r="A42" s="45"/>
      <c r="B42" s="98" t="s">
        <v>121</v>
      </c>
      <c r="C42" s="98"/>
      <c r="D42" s="98" t="s">
        <v>122</v>
      </c>
      <c r="E42" s="106"/>
      <c r="F42" s="106"/>
      <c r="G42" s="106"/>
      <c r="H42" s="106"/>
      <c r="I42" s="128">
        <f>IF(E42&lt;&gt;"",K17,ROUNDUP(K17/2,0))+IF(F42&lt;&gt;"",10,0)+IF(G42&lt;&gt;"",10,0)+IF(H42&lt;&gt;"",10,0)</f>
        <v>0</v>
      </c>
      <c r="J42" s="106"/>
      <c r="K42" s="106"/>
      <c r="L42" s="106"/>
      <c r="M42" s="106"/>
      <c r="N42" s="106"/>
      <c r="O42" s="106"/>
      <c r="P42" s="106"/>
      <c r="Q42" s="106"/>
      <c r="R42" s="84">
        <f t="shared" si="2"/>
        <v>0</v>
      </c>
      <c r="S42" s="45"/>
      <c r="T42" s="120">
        <v>8</v>
      </c>
      <c r="U42" s="121"/>
      <c r="V42" s="121"/>
      <c r="W42" s="121"/>
      <c r="X42" s="122" t="str">
        <f>TEXT(SUM(U$35:W42),"0")&amp;"/"</f>
        <v>0/</v>
      </c>
      <c r="Y42" s="122"/>
      <c r="Z42" s="123">
        <v>13000</v>
      </c>
      <c r="AA42" s="123"/>
      <c r="AB42" s="124"/>
    </row>
    <row r="43" customHeight="1" spans="1:28">
      <c r="A43" s="45"/>
      <c r="B43" s="98" t="s">
        <v>123</v>
      </c>
      <c r="C43" s="98"/>
      <c r="D43" s="98" t="s">
        <v>122</v>
      </c>
      <c r="E43" s="106"/>
      <c r="F43" s="106"/>
      <c r="G43" s="106"/>
      <c r="H43" s="106"/>
      <c r="I43" s="128">
        <f>IF(E43&lt;&gt;"",K17,ROUNDUP(K17/2,0))+IF(F43&lt;&gt;"",10,0)+IF(G43&lt;&gt;"",10,0)+IF(H43&lt;&gt;"",10,0)</f>
        <v>0</v>
      </c>
      <c r="J43" s="106"/>
      <c r="K43" s="106"/>
      <c r="L43" s="106"/>
      <c r="M43" s="106"/>
      <c r="N43" s="106"/>
      <c r="O43" s="106"/>
      <c r="P43" s="106"/>
      <c r="Q43" s="106"/>
      <c r="R43" s="84">
        <f t="shared" si="2"/>
        <v>0</v>
      </c>
      <c r="S43" s="45"/>
      <c r="T43" s="120">
        <v>9</v>
      </c>
      <c r="U43" s="121"/>
      <c r="V43" s="121"/>
      <c r="W43" s="121"/>
      <c r="X43" s="122" t="str">
        <f>TEXT(SUM(U$35:W43),"0")&amp;"/"</f>
        <v>0/</v>
      </c>
      <c r="Y43" s="122"/>
      <c r="Z43" s="123">
        <v>17000</v>
      </c>
      <c r="AA43" s="123"/>
      <c r="AB43" s="124"/>
    </row>
    <row r="44" customHeight="1" spans="1:28">
      <c r="A44" s="45"/>
      <c r="B44" s="98" t="s">
        <v>124</v>
      </c>
      <c r="C44" s="98"/>
      <c r="D44" s="98" t="s">
        <v>122</v>
      </c>
      <c r="E44" s="106"/>
      <c r="F44" s="106"/>
      <c r="G44" s="106"/>
      <c r="H44" s="106"/>
      <c r="I44" s="128">
        <f>IF(E44&lt;&gt;"",K17,ROUNDUP(K17/2,0))+IF(F44&lt;&gt;"",10,0)+IF(G44&lt;&gt;"",10,0)+IF(H44&lt;&gt;"",10,0)</f>
        <v>0</v>
      </c>
      <c r="J44" s="106"/>
      <c r="K44" s="106"/>
      <c r="L44" s="106"/>
      <c r="M44" s="106"/>
      <c r="N44" s="106"/>
      <c r="O44" s="106"/>
      <c r="P44" s="106"/>
      <c r="Q44" s="106"/>
      <c r="R44" s="84">
        <f t="shared" si="2"/>
        <v>0</v>
      </c>
      <c r="S44" s="45"/>
      <c r="T44" s="120">
        <v>10</v>
      </c>
      <c r="U44" s="121"/>
      <c r="V44" s="121"/>
      <c r="W44" s="121"/>
      <c r="X44" s="122" t="str">
        <f>TEXT(SUM(U$35:W44),"0")&amp;"/"</f>
        <v>0/</v>
      </c>
      <c r="Y44" s="122"/>
      <c r="Z44" s="123">
        <v>21000</v>
      </c>
      <c r="AA44" s="123"/>
      <c r="AB44" s="124"/>
    </row>
    <row r="45" customHeight="1" spans="1:28">
      <c r="A45" s="45"/>
      <c r="B45" s="98" t="s">
        <v>125</v>
      </c>
      <c r="C45" s="98"/>
      <c r="D45" s="98" t="s">
        <v>126</v>
      </c>
      <c r="E45" s="106"/>
      <c r="F45" s="106"/>
      <c r="G45" s="106"/>
      <c r="H45" s="106"/>
      <c r="I45" s="128">
        <f>IF(E45&lt;&gt;"",K18,ROUNDUP(K18/2,0))+IF(F45&lt;&gt;"",10,0)+IF(G45&lt;&gt;"",10,0)+IF(H45&lt;&gt;"",10,0)</f>
        <v>0</v>
      </c>
      <c r="J45" s="106"/>
      <c r="K45" s="106"/>
      <c r="L45" s="106"/>
      <c r="M45" s="106"/>
      <c r="N45" s="106"/>
      <c r="O45" s="106"/>
      <c r="P45" s="106"/>
      <c r="Q45" s="106"/>
      <c r="R45" s="84">
        <f t="shared" si="2"/>
        <v>0</v>
      </c>
      <c r="S45" s="45"/>
      <c r="T45" s="120">
        <v>11</v>
      </c>
      <c r="U45" s="121"/>
      <c r="V45" s="121"/>
      <c r="W45" s="121"/>
      <c r="X45" s="122" t="str">
        <f>TEXT(SUM(U$35:W45),"0")&amp;"/"</f>
        <v>0/</v>
      </c>
      <c r="Y45" s="122"/>
      <c r="Z45" s="123">
        <v>25000</v>
      </c>
      <c r="AA45" s="123"/>
      <c r="AB45" s="124"/>
    </row>
    <row r="46" customHeight="1" spans="1:28">
      <c r="A46" s="45"/>
      <c r="B46" s="98" t="s">
        <v>127</v>
      </c>
      <c r="C46" s="98"/>
      <c r="D46" s="98" t="s">
        <v>126</v>
      </c>
      <c r="E46" s="106"/>
      <c r="F46" s="106"/>
      <c r="G46" s="106"/>
      <c r="H46" s="106"/>
      <c r="I46" s="128">
        <f>IF(E46&lt;&gt;"",K18,ROUNDUP(K18/2,0))+IF(F46&lt;&gt;"",10,0)+IF(G46&lt;&gt;"",10,0)+IF(H46&lt;&gt;"",10,0)</f>
        <v>0</v>
      </c>
      <c r="J46" s="106"/>
      <c r="K46" s="106"/>
      <c r="L46" s="106"/>
      <c r="M46" s="106"/>
      <c r="N46" s="106"/>
      <c r="O46" s="106"/>
      <c r="P46" s="106"/>
      <c r="Q46" s="106"/>
      <c r="R46" s="84">
        <f t="shared" si="2"/>
        <v>0</v>
      </c>
      <c r="S46" s="45"/>
      <c r="T46" s="120">
        <v>12</v>
      </c>
      <c r="U46" s="121"/>
      <c r="V46" s="121"/>
      <c r="W46" s="121"/>
      <c r="X46" s="122" t="str">
        <f>TEXT(SUM(U$35:W46),"0")&amp;"/"</f>
        <v>0/</v>
      </c>
      <c r="Y46" s="122"/>
      <c r="Z46" s="123">
        <v>30000</v>
      </c>
      <c r="AA46" s="123"/>
      <c r="AB46" s="124"/>
    </row>
    <row r="47" customHeight="1" spans="1:28">
      <c r="A47" s="45"/>
      <c r="B47" s="98" t="s">
        <v>128</v>
      </c>
      <c r="C47" s="98"/>
      <c r="D47" s="98" t="s">
        <v>126</v>
      </c>
      <c r="E47" s="106"/>
      <c r="F47" s="106"/>
      <c r="G47" s="106"/>
      <c r="H47" s="106"/>
      <c r="I47" s="128">
        <f>IF(E47&lt;&gt;"",K18,ROUNDUP(K18/2,0))+IF(F47&lt;&gt;"",10,0)+IF(G47&lt;&gt;"",10,0)+IF(H47&lt;&gt;"",10,0)</f>
        <v>0</v>
      </c>
      <c r="J47" s="106"/>
      <c r="K47" s="106"/>
      <c r="L47" s="106"/>
      <c r="M47" s="106"/>
      <c r="N47" s="106"/>
      <c r="O47" s="106"/>
      <c r="P47" s="106"/>
      <c r="Q47" s="106"/>
      <c r="R47" s="84">
        <f t="shared" si="2"/>
        <v>0</v>
      </c>
      <c r="S47" s="45"/>
      <c r="T47" s="120">
        <v>13</v>
      </c>
      <c r="U47" s="121"/>
      <c r="V47" s="121"/>
      <c r="W47" s="121"/>
      <c r="X47" s="122" t="str">
        <f>TEXT(SUM(U$35:W47),"0")&amp;"/"</f>
        <v>0/</v>
      </c>
      <c r="Y47" s="122"/>
      <c r="Z47" s="123">
        <v>35000</v>
      </c>
      <c r="AA47" s="123"/>
      <c r="AB47" s="124"/>
    </row>
    <row r="48" customHeight="1" spans="1:28">
      <c r="A48" s="45"/>
      <c r="B48" s="98" t="s">
        <v>129</v>
      </c>
      <c r="C48" s="98"/>
      <c r="D48" s="98" t="s">
        <v>130</v>
      </c>
      <c r="E48" s="106"/>
      <c r="F48" s="106"/>
      <c r="G48" s="106"/>
      <c r="H48" s="106"/>
      <c r="I48" s="128">
        <f>IF(E48&lt;&gt;"",K19,ROUNDUP(K19/2,0))+IF(F48&lt;&gt;"",10,0)+IF(G48&lt;&gt;"",10,0)+IF(H48&lt;&gt;"",10,0)</f>
        <v>0</v>
      </c>
      <c r="J48" s="106"/>
      <c r="K48" s="106"/>
      <c r="L48" s="106"/>
      <c r="M48" s="106"/>
      <c r="N48" s="106"/>
      <c r="O48" s="106"/>
      <c r="P48" s="106"/>
      <c r="Q48" s="106"/>
      <c r="R48" s="84">
        <f t="shared" si="2"/>
        <v>0</v>
      </c>
      <c r="S48" s="45"/>
      <c r="T48" s="120">
        <v>14</v>
      </c>
      <c r="U48" s="121"/>
      <c r="V48" s="121"/>
      <c r="W48" s="121"/>
      <c r="X48" s="122" t="str">
        <f>TEXT(SUM(U$35:W48),"0")&amp;"/"</f>
        <v>0/</v>
      </c>
      <c r="Y48" s="122"/>
      <c r="Z48" s="123">
        <v>40000</v>
      </c>
      <c r="AA48" s="123"/>
      <c r="AB48" s="124"/>
    </row>
    <row r="49" customHeight="1" spans="1:68">
      <c r="A49" s="45"/>
      <c r="B49" s="105" t="s">
        <v>131</v>
      </c>
      <c r="C49" s="105"/>
      <c r="D49" s="98" t="s">
        <v>130</v>
      </c>
      <c r="E49" s="106"/>
      <c r="F49" s="106"/>
      <c r="G49" s="106"/>
      <c r="H49" s="106"/>
      <c r="I49" s="128">
        <f>IF(E49&lt;&gt;"",K19,ROUNDUP(K19/2,0))+IF(F49&lt;&gt;"",10,0)+IF(G49&lt;&gt;"",10,0)+IF(H49&lt;&gt;"",10,0)</f>
        <v>0</v>
      </c>
      <c r="J49" s="106"/>
      <c r="K49" s="106"/>
      <c r="L49" s="106"/>
      <c r="M49" s="106"/>
      <c r="N49" s="106"/>
      <c r="O49" s="106"/>
      <c r="P49" s="106"/>
      <c r="Q49" s="106"/>
      <c r="R49" s="84">
        <f t="shared" si="2"/>
        <v>0</v>
      </c>
      <c r="S49" s="45"/>
      <c r="T49" s="120">
        <v>15</v>
      </c>
      <c r="U49" s="121"/>
      <c r="V49" s="121"/>
      <c r="W49" s="121"/>
      <c r="X49" s="122" t="str">
        <f>TEXT(SUM(U$35:W49),"0")&amp;"/"</f>
        <v>0/</v>
      </c>
      <c r="Y49" s="122"/>
      <c r="Z49" s="123">
        <v>45000</v>
      </c>
      <c r="AA49" s="123"/>
      <c r="AB49" s="124"/>
    </row>
    <row r="50" customHeight="1" spans="1:68">
      <c r="A50" s="45"/>
      <c r="B50" s="98" t="s">
        <v>132</v>
      </c>
      <c r="C50" s="98"/>
      <c r="D50" s="98" t="s">
        <v>130</v>
      </c>
      <c r="E50" s="106"/>
      <c r="F50" s="106"/>
      <c r="G50" s="106"/>
      <c r="H50" s="106"/>
      <c r="I50" s="128">
        <f>IF(E50&lt;&gt;"",K19,ROUNDUP(K19/2,0))+IF(F50&lt;&gt;"",10,0)+IF(G50&lt;&gt;"",10,0)+IF(H50&lt;&gt;"",10,0)</f>
        <v>0</v>
      </c>
      <c r="J50" s="106"/>
      <c r="K50" s="106"/>
      <c r="L50" s="106"/>
      <c r="M50" s="106"/>
      <c r="N50" s="106"/>
      <c r="O50" s="106"/>
      <c r="P50" s="106"/>
      <c r="Q50" s="106"/>
      <c r="R50" s="84">
        <f t="shared" si="2"/>
        <v>0</v>
      </c>
      <c r="S50" s="45"/>
      <c r="T50" s="129">
        <v>16</v>
      </c>
      <c r="U50" s="130"/>
      <c r="V50" s="130"/>
      <c r="W50" s="130"/>
      <c r="X50" s="122" t="str">
        <f>TEXT(SUM(U$35:W50),"0")&amp;"/"</f>
        <v>0/</v>
      </c>
      <c r="Y50" s="122"/>
      <c r="Z50" s="123">
        <v>50000</v>
      </c>
      <c r="AA50" s="123"/>
      <c r="AB50" s="124"/>
      <c r="AW50" s="131"/>
      <c r="AX50" s="131"/>
      <c r="AY50" s="131"/>
      <c r="AZ50" s="131"/>
      <c r="BA50" s="131"/>
      <c r="BB50" s="131"/>
      <c r="BC50" s="131"/>
      <c r="BD50" s="131"/>
      <c r="BE50" s="131"/>
      <c r="BF50" s="131"/>
      <c r="BG50" s="131"/>
      <c r="BH50" s="131"/>
      <c r="BI50" s="131"/>
      <c r="BJ50" s="131"/>
      <c r="BK50" s="131"/>
      <c r="BL50" s="131"/>
      <c r="BM50" s="131"/>
      <c r="BN50" s="131"/>
      <c r="BO50" s="131"/>
    </row>
    <row r="51" customHeight="1" spans="1:68">
      <c r="A51" s="45"/>
      <c r="B51" s="98" t="s">
        <v>133</v>
      </c>
      <c r="C51" s="98"/>
      <c r="D51" s="98" t="s">
        <v>134</v>
      </c>
      <c r="E51" s="106"/>
      <c r="F51" s="106"/>
      <c r="G51" s="106"/>
      <c r="H51" s="106"/>
      <c r="I51" s="128">
        <f>IF(E51&lt;&gt;"",K21,ROUNDUP(K21/2,0))+IF(F51&lt;&gt;"",10,0)+IF(G51&lt;&gt;"",10,0)+IF(H51&lt;&gt;"",10,0)</f>
        <v>0</v>
      </c>
      <c r="J51" s="106"/>
      <c r="K51" s="106"/>
      <c r="L51" s="106"/>
      <c r="M51" s="106"/>
      <c r="N51" s="106"/>
      <c r="O51" s="106"/>
      <c r="P51" s="106"/>
      <c r="Q51" s="106"/>
      <c r="R51" s="84">
        <f t="shared" si="2"/>
        <v>0</v>
      </c>
      <c r="S51" s="45"/>
      <c r="T51" s="83" t="s">
        <v>135</v>
      </c>
      <c r="U51" s="83"/>
      <c r="V51" s="83"/>
      <c r="W51" s="83"/>
      <c r="X51" s="83"/>
      <c r="Y51" s="83"/>
      <c r="Z51" s="83"/>
      <c r="AA51" s="83"/>
      <c r="AB51" s="45"/>
      <c r="AW51" s="131"/>
      <c r="AX51" s="131"/>
      <c r="AY51" s="131"/>
      <c r="AZ51" s="131"/>
      <c r="BA51" s="131"/>
      <c r="BB51" s="131"/>
      <c r="BC51" s="131"/>
      <c r="BD51" s="131"/>
      <c r="BE51" s="131"/>
      <c r="BF51" s="131"/>
      <c r="BG51" s="131"/>
      <c r="BH51" s="131"/>
      <c r="BI51" s="131"/>
      <c r="BJ51" s="131"/>
      <c r="BK51" s="131"/>
      <c r="BL51" s="131"/>
      <c r="BM51" s="131"/>
      <c r="BN51" s="131"/>
      <c r="BO51" s="131"/>
      <c r="BP51" s="131"/>
    </row>
    <row r="52" customHeight="1" spans="1:68">
      <c r="A52" s="45"/>
      <c r="B52" s="98" t="s">
        <v>136</v>
      </c>
      <c r="C52" s="98"/>
      <c r="D52" s="98" t="s">
        <v>134</v>
      </c>
      <c r="E52" s="106"/>
      <c r="F52" s="106"/>
      <c r="G52" s="106"/>
      <c r="H52" s="106"/>
      <c r="I52" s="128">
        <f>IF(E52&lt;&gt;"",K21,ROUNDUP(K21/2,0))+IF(F52&lt;&gt;"",10,0)+IF(G52&lt;&gt;"",10,0)+IF(H52&lt;&gt;"",10,0)</f>
        <v>0</v>
      </c>
      <c r="J52" s="106"/>
      <c r="K52" s="106"/>
      <c r="L52" s="106"/>
      <c r="M52" s="106"/>
      <c r="N52" s="106"/>
      <c r="O52" s="106"/>
      <c r="P52" s="106"/>
      <c r="Q52" s="106"/>
      <c r="R52" s="84">
        <f t="shared" si="2"/>
        <v>0</v>
      </c>
      <c r="S52" s="45"/>
      <c r="T52" s="132" t="s">
        <v>31</v>
      </c>
      <c r="U52" s="132"/>
      <c r="V52" s="133"/>
      <c r="W52" s="133"/>
      <c r="X52" s="133"/>
      <c r="Y52" s="133"/>
      <c r="Z52" s="133"/>
      <c r="AA52" s="133"/>
      <c r="AB52" s="45"/>
      <c r="AW52" s="131"/>
      <c r="AX52" s="131"/>
      <c r="AY52" s="131"/>
      <c r="AZ52" s="131"/>
      <c r="BA52" s="131"/>
      <c r="BB52" s="131"/>
      <c r="BC52" s="131"/>
      <c r="BD52" s="131"/>
      <c r="BE52" s="131"/>
      <c r="BF52" s="131"/>
      <c r="BG52" s="131"/>
      <c r="BH52" s="131"/>
      <c r="BI52" s="131"/>
      <c r="BJ52" s="131"/>
      <c r="BK52" s="131"/>
      <c r="BL52" s="131"/>
      <c r="BM52" s="131"/>
      <c r="BN52" s="131"/>
      <c r="BO52" s="131"/>
      <c r="BP52" s="131"/>
    </row>
    <row r="53" customHeight="1" spans="1:68">
      <c r="A53" s="45"/>
      <c r="B53" s="98" t="s">
        <v>137</v>
      </c>
      <c r="C53" s="98"/>
      <c r="D53" s="98" t="s">
        <v>134</v>
      </c>
      <c r="E53" s="106"/>
      <c r="F53" s="106"/>
      <c r="G53" s="106"/>
      <c r="H53" s="106"/>
      <c r="I53" s="128">
        <f>IF(E53&lt;&gt;"",K21,ROUNDUP(K21/2,0))+IF(F53&lt;&gt;"",10,0)+IF(G53&lt;&gt;"",10,0)+IF(H53&lt;&gt;"",10,0)</f>
        <v>0</v>
      </c>
      <c r="J53" s="106"/>
      <c r="K53" s="106"/>
      <c r="L53" s="106"/>
      <c r="M53" s="106"/>
      <c r="N53" s="106"/>
      <c r="O53" s="106"/>
      <c r="P53" s="106"/>
      <c r="Q53" s="106"/>
      <c r="R53" s="84">
        <f t="shared" si="2"/>
        <v>0</v>
      </c>
      <c r="S53" s="45"/>
      <c r="T53" s="132" t="s">
        <v>138</v>
      </c>
      <c r="U53" s="132"/>
      <c r="V53" s="133"/>
      <c r="W53" s="133"/>
      <c r="X53" s="133"/>
      <c r="Y53" s="133"/>
      <c r="Z53" s="133"/>
      <c r="AA53" s="133"/>
      <c r="AB53" s="45"/>
      <c r="AW53" s="131"/>
      <c r="AX53" s="131"/>
      <c r="AY53" s="131"/>
      <c r="AZ53" s="131"/>
      <c r="BA53" s="131"/>
      <c r="BB53" s="131"/>
      <c r="BC53" s="131"/>
      <c r="BD53" s="131"/>
      <c r="BE53" s="131"/>
      <c r="BF53" s="131"/>
      <c r="BG53" s="131"/>
      <c r="BH53" s="131"/>
      <c r="BI53" s="131"/>
      <c r="BJ53" s="131"/>
      <c r="BK53" s="131"/>
      <c r="BL53" s="131"/>
      <c r="BM53" s="131"/>
      <c r="BN53" s="131"/>
      <c r="BO53" s="131"/>
      <c r="BP53" s="131"/>
    </row>
    <row r="54" customHeight="1" spans="1:68">
      <c r="A54" s="45"/>
      <c r="B54" s="98" t="s">
        <v>139</v>
      </c>
      <c r="C54" s="98"/>
      <c r="D54" s="98" t="s">
        <v>134</v>
      </c>
      <c r="E54" s="106"/>
      <c r="F54" s="106"/>
      <c r="G54" s="106"/>
      <c r="H54" s="106"/>
      <c r="I54" s="128">
        <f>IF(E54&lt;&gt;"",K21,ROUNDUP(K21/2,0))+IF(F54&lt;&gt;"",10,0)+IF(G54&lt;&gt;"",10,0)+IF(H54&lt;&gt;"",10,0)</f>
        <v>0</v>
      </c>
      <c r="J54" s="106"/>
      <c r="K54" s="106"/>
      <c r="L54" s="106"/>
      <c r="M54" s="106"/>
      <c r="N54" s="106"/>
      <c r="O54" s="106"/>
      <c r="P54" s="106"/>
      <c r="Q54" s="106"/>
      <c r="R54" s="84">
        <f t="shared" si="2"/>
        <v>0</v>
      </c>
      <c r="S54" s="45"/>
      <c r="T54" s="132" t="s">
        <v>140</v>
      </c>
      <c r="U54" s="132"/>
      <c r="V54" s="133"/>
      <c r="W54" s="133"/>
      <c r="X54" s="133"/>
      <c r="Y54" s="133"/>
      <c r="Z54" s="133"/>
      <c r="AA54" s="133"/>
      <c r="AB54" s="45"/>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1"/>
      <c r="BA54" s="131"/>
      <c r="BB54" s="131"/>
      <c r="BC54" s="131"/>
      <c r="BD54" s="131"/>
      <c r="BE54" s="131"/>
      <c r="BF54" s="131"/>
      <c r="BG54" s="131"/>
      <c r="BH54" s="131"/>
      <c r="BI54" s="131"/>
      <c r="BJ54" s="131"/>
      <c r="BK54" s="131"/>
      <c r="BL54" s="131"/>
      <c r="BM54" s="131"/>
      <c r="BN54" s="131"/>
      <c r="BO54" s="131"/>
      <c r="BP54" s="131"/>
    </row>
    <row r="55" customHeight="1" spans="1:68">
      <c r="A55" s="45"/>
      <c r="B55" s="98" t="s">
        <v>141</v>
      </c>
      <c r="C55" s="98"/>
      <c r="D55" s="98" t="s">
        <v>134</v>
      </c>
      <c r="E55" s="106"/>
      <c r="F55" s="106"/>
      <c r="G55" s="106"/>
      <c r="H55" s="106"/>
      <c r="I55" s="128">
        <f>IF(E55&lt;&gt;"",K21,ROUNDUP(K21/2,0))+IF(F55&lt;&gt;"",10,0)+IF(G55&lt;&gt;"",10,0)+IF(H55&lt;&gt;"",10,0)</f>
        <v>0</v>
      </c>
      <c r="J55" s="106"/>
      <c r="K55" s="106"/>
      <c r="L55" s="106"/>
      <c r="M55" s="106"/>
      <c r="N55" s="106"/>
      <c r="O55" s="106"/>
      <c r="P55" s="106"/>
      <c r="Q55" s="106"/>
      <c r="R55" s="84">
        <f t="shared" si="2"/>
        <v>0</v>
      </c>
      <c r="S55" s="45"/>
      <c r="T55" s="132" t="s">
        <v>142</v>
      </c>
      <c r="U55" s="132"/>
      <c r="V55" s="133"/>
      <c r="W55" s="133"/>
      <c r="X55" s="133"/>
      <c r="Y55" s="133"/>
      <c r="Z55" s="133"/>
      <c r="AA55" s="133"/>
      <c r="AB55" s="45"/>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1"/>
      <c r="BA55" s="131"/>
      <c r="BB55" s="131"/>
      <c r="BC55" s="131"/>
      <c r="BD55" s="131"/>
      <c r="BE55" s="131"/>
      <c r="BF55" s="131"/>
      <c r="BG55" s="131"/>
      <c r="BH55" s="131"/>
      <c r="BI55" s="131"/>
      <c r="BJ55" s="131"/>
      <c r="BK55" s="131"/>
      <c r="BL55" s="131"/>
      <c r="BM55" s="131"/>
      <c r="BN55" s="131"/>
      <c r="BO55" s="131"/>
      <c r="BP55" s="131"/>
    </row>
    <row r="56" customHeight="1" spans="1:68">
      <c r="A56" s="45"/>
      <c r="B56" s="98" t="s">
        <v>143</v>
      </c>
      <c r="C56" s="98"/>
      <c r="D56" s="98" t="s">
        <v>134</v>
      </c>
      <c r="E56" s="106"/>
      <c r="F56" s="106"/>
      <c r="G56" s="106"/>
      <c r="H56" s="106"/>
      <c r="I56" s="128">
        <f>IF(E56&lt;&gt;"",K21,ROUNDUP(K21/2,0))+IF(F56&lt;&gt;"",10,0)+IF(G56&lt;&gt;"",10,0)+IF(H56&lt;&gt;"",10,0)</f>
        <v>0</v>
      </c>
      <c r="J56" s="106"/>
      <c r="K56" s="106"/>
      <c r="L56" s="106"/>
      <c r="M56" s="106"/>
      <c r="N56" s="106"/>
      <c r="O56" s="106"/>
      <c r="P56" s="106"/>
      <c r="Q56" s="106"/>
      <c r="R56" s="84">
        <f t="shared" si="2"/>
        <v>0</v>
      </c>
      <c r="S56" s="45"/>
      <c r="T56" s="132" t="s">
        <v>144</v>
      </c>
      <c r="U56" s="132"/>
      <c r="V56" s="133"/>
      <c r="W56" s="133"/>
      <c r="X56" s="133"/>
      <c r="Y56" s="133"/>
      <c r="Z56" s="133"/>
      <c r="AA56" s="133"/>
      <c r="AB56" s="45"/>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1"/>
      <c r="BA56" s="131"/>
      <c r="BB56" s="131"/>
      <c r="BC56" s="131"/>
      <c r="BD56" s="131"/>
      <c r="BE56" s="131"/>
      <c r="BF56" s="131"/>
      <c r="BG56" s="131"/>
      <c r="BH56" s="131"/>
      <c r="BI56" s="131"/>
      <c r="BJ56" s="131"/>
      <c r="BK56" s="131"/>
      <c r="BL56" s="131"/>
      <c r="BM56" s="131"/>
      <c r="BN56" s="131"/>
      <c r="BO56" s="131"/>
      <c r="BP56" s="131"/>
    </row>
    <row r="57" customHeight="1" spans="1:68">
      <c r="A57" s="45"/>
      <c r="B57" s="98" t="s">
        <v>145</v>
      </c>
      <c r="C57" s="98"/>
      <c r="D57" s="98" t="s">
        <v>134</v>
      </c>
      <c r="E57" s="106"/>
      <c r="F57" s="106"/>
      <c r="G57" s="106"/>
      <c r="H57" s="106"/>
      <c r="I57" s="128">
        <f>IF(E57&lt;&gt;"",K21,ROUNDUP(K21/2,0))+IF(F57&lt;&gt;"",10,0)+IF(G57&lt;&gt;"",10,0)+IF(H57&lt;&gt;"",10,0)</f>
        <v>0</v>
      </c>
      <c r="J57" s="106"/>
      <c r="K57" s="106"/>
      <c r="L57" s="106"/>
      <c r="M57" s="106"/>
      <c r="N57" s="106"/>
      <c r="O57" s="106"/>
      <c r="P57" s="106"/>
      <c r="Q57" s="106"/>
      <c r="R57" s="84">
        <f t="shared" si="2"/>
        <v>0</v>
      </c>
      <c r="S57" s="45"/>
      <c r="T57" s="132" t="s">
        <v>77</v>
      </c>
      <c r="U57" s="132"/>
      <c r="V57" s="133"/>
      <c r="W57" s="133"/>
      <c r="X57" s="133"/>
      <c r="Y57" s="133"/>
      <c r="Z57" s="133"/>
      <c r="AA57" s="133"/>
      <c r="AB57" s="45"/>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1"/>
      <c r="BA57" s="131"/>
      <c r="BB57" s="131"/>
      <c r="BC57" s="131"/>
      <c r="BD57" s="131"/>
      <c r="BE57" s="131"/>
      <c r="BF57" s="131"/>
      <c r="BG57" s="131"/>
      <c r="BH57" s="131"/>
      <c r="BI57" s="131"/>
      <c r="BJ57" s="131"/>
      <c r="BK57" s="131"/>
      <c r="BL57" s="131"/>
      <c r="BM57" s="131"/>
      <c r="BN57" s="131"/>
      <c r="BO57" s="131"/>
      <c r="BP57" s="131"/>
    </row>
    <row r="58" customHeight="1" spans="1:68">
      <c r="A58" s="45"/>
      <c r="B58" s="45"/>
      <c r="C58" s="45"/>
      <c r="D58" s="45"/>
      <c r="E58" s="45"/>
      <c r="F58" s="45"/>
      <c r="G58" s="45"/>
      <c r="H58" s="45"/>
      <c r="I58" s="45"/>
      <c r="J58" s="45"/>
      <c r="K58" s="45"/>
      <c r="L58" s="45"/>
      <c r="M58" s="45"/>
      <c r="N58" s="45"/>
      <c r="O58" s="45"/>
      <c r="P58" s="45"/>
      <c r="Q58" s="45"/>
      <c r="R58" s="95">
        <f>SUM(R38:R57)</f>
        <v>0</v>
      </c>
      <c r="S58" s="45"/>
      <c r="T58" s="45"/>
      <c r="U58" s="45"/>
      <c r="V58" s="45"/>
      <c r="W58" s="45"/>
      <c r="X58" s="45"/>
      <c r="Y58" s="45"/>
      <c r="Z58" s="45"/>
      <c r="AA58" s="45"/>
      <c r="AB58" s="45"/>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1"/>
      <c r="BA58" s="131"/>
      <c r="BB58" s="131"/>
      <c r="BC58" s="131"/>
      <c r="BD58" s="131"/>
      <c r="BE58" s="131"/>
      <c r="BF58" s="131"/>
      <c r="BG58" s="131"/>
      <c r="BH58" s="131"/>
      <c r="BI58" s="131"/>
      <c r="BJ58" s="131"/>
      <c r="BK58" s="131"/>
      <c r="BL58" s="131"/>
      <c r="BM58" s="131"/>
      <c r="BN58" s="131"/>
      <c r="BO58" s="131"/>
      <c r="BP58" s="131"/>
    </row>
    <row r="59" customHeight="1" spans="1:68">
      <c r="A59" s="135"/>
      <c r="B59" s="136" t="s">
        <v>146</v>
      </c>
      <c r="C59" s="136"/>
      <c r="D59" s="136"/>
      <c r="E59" s="136"/>
      <c r="F59" s="136"/>
      <c r="G59" s="136"/>
      <c r="H59" s="136"/>
      <c r="I59" s="136"/>
      <c r="J59" s="136"/>
      <c r="K59" s="136"/>
      <c r="L59" s="136"/>
      <c r="M59" s="136"/>
      <c r="N59" s="136"/>
      <c r="O59" s="136"/>
      <c r="P59" s="136"/>
      <c r="Q59" s="136"/>
      <c r="R59" s="136"/>
      <c r="S59" s="137"/>
      <c r="T59" s="138" t="s">
        <v>147</v>
      </c>
      <c r="U59" s="139"/>
      <c r="V59" s="139"/>
      <c r="W59" s="139"/>
      <c r="X59" s="139"/>
      <c r="Y59" s="139"/>
      <c r="Z59" s="139"/>
      <c r="AA59" s="139"/>
      <c r="AB59" s="137"/>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1"/>
      <c r="BA59" s="131"/>
      <c r="BB59" s="131"/>
      <c r="BC59" s="131"/>
      <c r="BD59" s="131"/>
      <c r="BE59" s="131"/>
      <c r="BF59" s="131"/>
      <c r="BG59" s="131"/>
      <c r="BH59" s="131"/>
      <c r="BI59" s="131"/>
      <c r="BJ59" s="131"/>
      <c r="BK59" s="131"/>
      <c r="BL59" s="131"/>
      <c r="BM59" s="131"/>
      <c r="BN59" s="131"/>
      <c r="BO59" s="131"/>
      <c r="BP59" s="131"/>
    </row>
    <row r="60" customHeight="1" spans="1:68">
      <c r="A60" s="140"/>
      <c r="B60" s="141" t="s">
        <v>109</v>
      </c>
      <c r="C60" s="142"/>
      <c r="D60" s="142"/>
      <c r="E60" s="142"/>
      <c r="F60" s="142" t="s">
        <v>148</v>
      </c>
      <c r="G60" s="142"/>
      <c r="H60" s="142"/>
      <c r="I60" s="142" t="s">
        <v>149</v>
      </c>
      <c r="J60" s="142"/>
      <c r="K60" s="142"/>
      <c r="L60" s="143" t="s">
        <v>150</v>
      </c>
      <c r="M60" s="144"/>
      <c r="N60" s="143" t="s">
        <v>151</v>
      </c>
      <c r="O60" s="145"/>
      <c r="P60" s="142" t="s">
        <v>152</v>
      </c>
      <c r="Q60" s="142"/>
      <c r="R60" s="142"/>
      <c r="S60" s="146"/>
      <c r="T60" s="147" t="s">
        <v>153</v>
      </c>
      <c r="U60" s="147"/>
      <c r="V60" s="148"/>
      <c r="W60" s="148"/>
      <c r="X60" s="148"/>
      <c r="Y60" s="148"/>
      <c r="Z60" s="148"/>
      <c r="AA60" s="148"/>
      <c r="AB60" s="149"/>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1"/>
      <c r="BA60" s="131"/>
      <c r="BB60" s="131"/>
      <c r="BC60" s="131"/>
      <c r="BD60" s="131"/>
      <c r="BE60" s="131"/>
      <c r="BF60" s="131"/>
      <c r="BG60" s="131"/>
      <c r="BH60" s="131"/>
      <c r="BI60" s="131"/>
      <c r="BJ60" s="131"/>
      <c r="BK60" s="131"/>
      <c r="BL60" s="131"/>
      <c r="BM60" s="131"/>
      <c r="BN60" s="131"/>
      <c r="BO60" s="131"/>
      <c r="BP60" s="131"/>
    </row>
    <row r="61" customHeight="1" spans="1:68">
      <c r="A61" s="140"/>
      <c r="B61" s="150"/>
      <c r="C61" s="150"/>
      <c r="D61" s="150"/>
      <c r="E61" s="151"/>
      <c r="F61" s="152"/>
      <c r="G61" s="150"/>
      <c r="H61" s="151"/>
      <c r="I61" s="153"/>
      <c r="J61" s="154"/>
      <c r="K61" s="155"/>
      <c r="L61" s="156"/>
      <c r="M61" s="156"/>
      <c r="N61" s="156"/>
      <c r="O61" s="156"/>
      <c r="P61" s="157"/>
      <c r="Q61" s="157"/>
      <c r="R61" s="157"/>
      <c r="S61" s="146"/>
      <c r="T61" s="158"/>
      <c r="U61" s="158"/>
      <c r="V61" s="159"/>
      <c r="W61" s="159"/>
      <c r="X61" s="159"/>
      <c r="Y61" s="159"/>
      <c r="Z61" s="159"/>
      <c r="AA61" s="159"/>
      <c r="AB61" s="149"/>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1"/>
      <c r="BA61" s="131"/>
      <c r="BB61" s="131"/>
      <c r="BC61" s="131"/>
      <c r="BD61" s="131"/>
      <c r="BE61" s="131"/>
      <c r="BF61" s="131"/>
      <c r="BG61" s="131"/>
      <c r="BH61" s="131"/>
      <c r="BI61" s="131"/>
      <c r="BJ61" s="131"/>
      <c r="BK61" s="131"/>
      <c r="BL61" s="131"/>
      <c r="BM61" s="131"/>
      <c r="BN61" s="131"/>
      <c r="BO61" s="131"/>
      <c r="BP61" s="131"/>
    </row>
    <row r="62" customHeight="1" spans="1:68">
      <c r="A62" s="140"/>
      <c r="B62" s="150"/>
      <c r="C62" s="150"/>
      <c r="D62" s="150"/>
      <c r="E62" s="151"/>
      <c r="F62" s="152"/>
      <c r="G62" s="150"/>
      <c r="H62" s="151"/>
      <c r="I62" s="153"/>
      <c r="J62" s="154"/>
      <c r="K62" s="155"/>
      <c r="L62" s="156"/>
      <c r="M62" s="156"/>
      <c r="N62" s="156"/>
      <c r="O62" s="156"/>
      <c r="P62" s="157"/>
      <c r="Q62" s="157"/>
      <c r="R62" s="157"/>
      <c r="S62" s="137"/>
      <c r="T62" s="147" t="s">
        <v>154</v>
      </c>
      <c r="U62" s="147"/>
      <c r="V62" s="148"/>
      <c r="W62" s="148"/>
      <c r="X62" s="148"/>
      <c r="Y62" s="148"/>
      <c r="Z62" s="148"/>
      <c r="AA62" s="148"/>
      <c r="AB62" s="137"/>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1"/>
      <c r="BA62" s="131"/>
      <c r="BB62" s="131"/>
      <c r="BC62" s="131"/>
      <c r="BD62" s="131"/>
      <c r="BE62" s="131"/>
      <c r="BF62" s="131"/>
      <c r="BG62" s="131"/>
      <c r="BH62" s="131"/>
      <c r="BI62" s="131"/>
      <c r="BJ62" s="131"/>
      <c r="BK62" s="131"/>
      <c r="BL62" s="131"/>
      <c r="BM62" s="131"/>
      <c r="BN62" s="131"/>
      <c r="BO62" s="131"/>
      <c r="BP62" s="131"/>
    </row>
    <row r="63" customHeight="1" spans="1:68">
      <c r="A63" s="160"/>
      <c r="B63" s="136" t="s">
        <v>155</v>
      </c>
      <c r="C63" s="136"/>
      <c r="D63" s="136"/>
      <c r="E63" s="136"/>
      <c r="F63" s="136"/>
      <c r="G63" s="136"/>
      <c r="H63" s="136"/>
      <c r="I63" s="136"/>
      <c r="J63" s="136"/>
      <c r="K63" s="136"/>
      <c r="L63" s="136"/>
      <c r="M63" s="136"/>
      <c r="N63" s="136"/>
      <c r="O63" s="136"/>
      <c r="P63" s="136"/>
      <c r="Q63" s="136"/>
      <c r="R63" s="136"/>
      <c r="S63" s="161"/>
      <c r="T63" s="158"/>
      <c r="U63" s="158"/>
      <c r="V63" s="159"/>
      <c r="W63" s="159"/>
      <c r="X63" s="159"/>
      <c r="Y63" s="159"/>
      <c r="Z63" s="159"/>
      <c r="AA63" s="159"/>
      <c r="AB63" s="162"/>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1"/>
      <c r="BA63" s="131"/>
      <c r="BB63" s="131"/>
      <c r="BC63" s="131"/>
      <c r="BD63" s="131"/>
      <c r="BE63" s="131"/>
      <c r="BF63" s="131"/>
      <c r="BG63" s="131"/>
      <c r="BH63" s="131"/>
      <c r="BI63" s="131"/>
      <c r="BJ63" s="131"/>
      <c r="BK63" s="131"/>
      <c r="BL63" s="131"/>
      <c r="BM63" s="131"/>
      <c r="BN63" s="131"/>
      <c r="BO63" s="131"/>
      <c r="BP63" s="131"/>
    </row>
    <row r="64" customHeight="1" spans="1:68">
      <c r="A64" s="163"/>
      <c r="B64" s="104" t="s">
        <v>109</v>
      </c>
      <c r="C64" s="104"/>
      <c r="D64" s="104"/>
      <c r="E64" s="104"/>
      <c r="F64" s="104" t="s">
        <v>156</v>
      </c>
      <c r="G64" s="104"/>
      <c r="H64" s="104"/>
      <c r="I64" s="104"/>
      <c r="J64" s="104"/>
      <c r="K64" s="104"/>
      <c r="L64" s="104"/>
      <c r="M64" s="104"/>
      <c r="N64" s="104"/>
      <c r="O64" s="104"/>
      <c r="P64" s="104"/>
      <c r="Q64" s="104"/>
      <c r="R64" s="104"/>
      <c r="S64" s="163"/>
      <c r="T64" s="147" t="s">
        <v>157</v>
      </c>
      <c r="U64" s="147"/>
      <c r="V64" s="148"/>
      <c r="W64" s="148"/>
      <c r="X64" s="148"/>
      <c r="Y64" s="148"/>
      <c r="Z64" s="148"/>
      <c r="AA64" s="148"/>
      <c r="AB64" s="163"/>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1"/>
      <c r="BA64" s="131"/>
      <c r="BB64" s="131"/>
      <c r="BC64" s="131"/>
      <c r="BD64" s="131"/>
      <c r="BE64" s="131"/>
      <c r="BF64" s="131"/>
      <c r="BG64" s="131"/>
      <c r="BH64" s="131"/>
      <c r="BI64" s="131"/>
      <c r="BJ64" s="131"/>
      <c r="BK64" s="131"/>
      <c r="BL64" s="131"/>
      <c r="BM64" s="131"/>
      <c r="BN64" s="131"/>
      <c r="BO64" s="131"/>
      <c r="BP64" s="131"/>
    </row>
    <row r="65" customHeight="1" spans="1:68">
      <c r="A65" s="163"/>
      <c r="B65" s="88"/>
      <c r="C65" s="88"/>
      <c r="D65" s="88"/>
      <c r="E65" s="88"/>
      <c r="F65" s="88"/>
      <c r="G65" s="88"/>
      <c r="H65" s="88"/>
      <c r="I65" s="88"/>
      <c r="J65" s="88"/>
      <c r="K65" s="88"/>
      <c r="L65" s="88"/>
      <c r="M65" s="88"/>
      <c r="N65" s="88"/>
      <c r="O65" s="88"/>
      <c r="P65" s="88"/>
      <c r="Q65" s="88"/>
      <c r="R65" s="88"/>
      <c r="S65" s="163"/>
      <c r="T65" s="158"/>
      <c r="U65" s="158"/>
      <c r="V65" s="159"/>
      <c r="W65" s="159"/>
      <c r="X65" s="159"/>
      <c r="Y65" s="159"/>
      <c r="Z65" s="159"/>
      <c r="AA65" s="159"/>
      <c r="AB65" s="163"/>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1"/>
      <c r="BA65" s="131"/>
      <c r="BB65" s="131"/>
      <c r="BC65" s="131"/>
      <c r="BD65" s="131"/>
      <c r="BE65" s="131"/>
      <c r="BF65" s="131"/>
      <c r="BG65" s="131"/>
      <c r="BH65" s="131"/>
      <c r="BI65" s="131"/>
      <c r="BJ65" s="131"/>
      <c r="BK65" s="131"/>
      <c r="BL65" s="131"/>
      <c r="BM65" s="131"/>
      <c r="BN65" s="131"/>
      <c r="BO65" s="131"/>
      <c r="BP65" s="131"/>
    </row>
    <row r="66" customHeight="1" spans="1:68">
      <c r="A66" s="163"/>
      <c r="B66" s="88"/>
      <c r="C66" s="88"/>
      <c r="D66" s="88"/>
      <c r="E66" s="88"/>
      <c r="F66" s="88"/>
      <c r="G66" s="88"/>
      <c r="H66" s="88"/>
      <c r="I66" s="88"/>
      <c r="J66" s="88"/>
      <c r="K66" s="88"/>
      <c r="L66" s="88"/>
      <c r="M66" s="88"/>
      <c r="N66" s="88"/>
      <c r="O66" s="88"/>
      <c r="P66" s="88"/>
      <c r="Q66" s="88"/>
      <c r="R66" s="88"/>
      <c r="S66" s="163"/>
      <c r="T66" s="147" t="s">
        <v>158</v>
      </c>
      <c r="U66" s="147"/>
      <c r="V66" s="148"/>
      <c r="W66" s="148"/>
      <c r="X66" s="148"/>
      <c r="Y66" s="148"/>
      <c r="Z66" s="148"/>
      <c r="AA66" s="148"/>
      <c r="AB66" s="163"/>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1"/>
      <c r="BA66" s="131"/>
      <c r="BB66" s="131"/>
      <c r="BC66" s="131"/>
      <c r="BD66" s="131"/>
      <c r="BE66" s="131"/>
      <c r="BF66" s="131"/>
      <c r="BG66" s="131"/>
      <c r="BH66" s="131"/>
      <c r="BI66" s="131"/>
      <c r="BJ66" s="131"/>
      <c r="BK66" s="131"/>
      <c r="BL66" s="131"/>
      <c r="BM66" s="131"/>
      <c r="BN66" s="131"/>
      <c r="BO66" s="131"/>
      <c r="BP66" s="131"/>
    </row>
    <row r="67" customHeight="1" spans="1:68">
      <c r="A67" s="163"/>
      <c r="B67" s="88"/>
      <c r="C67" s="88"/>
      <c r="D67" s="88"/>
      <c r="E67" s="88"/>
      <c r="F67" s="88"/>
      <c r="G67" s="88"/>
      <c r="H67" s="88"/>
      <c r="I67" s="88"/>
      <c r="J67" s="88"/>
      <c r="K67" s="88"/>
      <c r="L67" s="88"/>
      <c r="M67" s="88"/>
      <c r="N67" s="88"/>
      <c r="O67" s="88"/>
      <c r="P67" s="88"/>
      <c r="Q67" s="88"/>
      <c r="R67" s="88"/>
      <c r="S67" s="163"/>
      <c r="T67" s="158"/>
      <c r="U67" s="158"/>
      <c r="V67" s="159"/>
      <c r="W67" s="159"/>
      <c r="X67" s="159"/>
      <c r="Y67" s="159"/>
      <c r="Z67" s="159"/>
      <c r="AA67" s="159"/>
      <c r="AB67" s="163"/>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1"/>
      <c r="BA67" s="131"/>
      <c r="BB67" s="131"/>
      <c r="BC67" s="131"/>
      <c r="BD67" s="131"/>
      <c r="BE67" s="131"/>
      <c r="BF67" s="131"/>
      <c r="BG67" s="131"/>
      <c r="BH67" s="131"/>
      <c r="BI67" s="131"/>
      <c r="BJ67" s="131"/>
      <c r="BK67" s="131"/>
      <c r="BL67" s="131"/>
      <c r="BM67" s="131"/>
      <c r="BN67" s="131"/>
      <c r="BO67" s="131"/>
      <c r="BP67" s="131"/>
    </row>
    <row r="68" customHeight="1" spans="1:68">
      <c r="A68" s="163"/>
      <c r="B68" s="88"/>
      <c r="C68" s="88"/>
      <c r="D68" s="88"/>
      <c r="E68" s="88"/>
      <c r="F68" s="88"/>
      <c r="G68" s="88"/>
      <c r="H68" s="88"/>
      <c r="I68" s="88"/>
      <c r="J68" s="88"/>
      <c r="K68" s="88"/>
      <c r="L68" s="88"/>
      <c r="M68" s="88"/>
      <c r="N68" s="88"/>
      <c r="O68" s="88"/>
      <c r="P68" s="88"/>
      <c r="Q68" s="88"/>
      <c r="R68" s="88"/>
      <c r="S68" s="163"/>
      <c r="T68" s="147" t="s">
        <v>77</v>
      </c>
      <c r="U68" s="147"/>
      <c r="V68" s="148"/>
      <c r="W68" s="148"/>
      <c r="X68" s="148"/>
      <c r="Y68" s="148"/>
      <c r="Z68" s="148"/>
      <c r="AA68" s="148"/>
      <c r="AB68" s="163"/>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1"/>
      <c r="BA68" s="131"/>
      <c r="BB68" s="131"/>
      <c r="BC68" s="131"/>
      <c r="BD68" s="131"/>
      <c r="BE68" s="131"/>
      <c r="BF68" s="131"/>
      <c r="BG68" s="131"/>
      <c r="BH68" s="131"/>
      <c r="BI68" s="131"/>
      <c r="BJ68" s="131"/>
      <c r="BK68" s="131"/>
      <c r="BL68" s="131"/>
      <c r="BM68" s="131"/>
      <c r="BN68" s="131"/>
      <c r="BO68" s="131"/>
      <c r="BP68" s="131"/>
    </row>
    <row r="69" customHeight="1" spans="1:68">
      <c r="A69" s="163"/>
      <c r="B69" s="88"/>
      <c r="C69" s="88"/>
      <c r="D69" s="88"/>
      <c r="E69" s="88"/>
      <c r="F69" s="88"/>
      <c r="G69" s="88"/>
      <c r="H69" s="88"/>
      <c r="I69" s="88"/>
      <c r="J69" s="88"/>
      <c r="K69" s="88"/>
      <c r="L69" s="88"/>
      <c r="M69" s="88"/>
      <c r="N69" s="88"/>
      <c r="O69" s="88"/>
      <c r="P69" s="88"/>
      <c r="Q69" s="88"/>
      <c r="R69" s="88"/>
      <c r="S69" s="163"/>
      <c r="T69" s="158"/>
      <c r="U69" s="158"/>
      <c r="V69" s="159"/>
      <c r="W69" s="159"/>
      <c r="X69" s="159"/>
      <c r="Y69" s="159"/>
      <c r="Z69" s="159"/>
      <c r="AA69" s="159"/>
      <c r="AB69" s="163"/>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1"/>
      <c r="BA69" s="131"/>
      <c r="BB69" s="131"/>
      <c r="BC69" s="131"/>
      <c r="BD69" s="131"/>
      <c r="BE69" s="131"/>
      <c r="BF69" s="131"/>
      <c r="BG69" s="131"/>
      <c r="BH69" s="131"/>
      <c r="BI69" s="131"/>
      <c r="BJ69" s="131"/>
      <c r="BK69" s="131"/>
      <c r="BL69" s="131"/>
      <c r="BM69" s="131"/>
      <c r="BN69" s="131"/>
      <c r="BO69" s="131"/>
      <c r="BP69" s="131"/>
    </row>
    <row r="70" customHeight="1" spans="1:68">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1"/>
      <c r="BA70" s="131"/>
      <c r="BB70" s="131"/>
      <c r="BC70" s="131"/>
      <c r="BD70" s="131"/>
      <c r="BE70" s="131"/>
      <c r="BF70" s="131"/>
      <c r="BG70" s="131"/>
      <c r="BH70" s="131"/>
      <c r="BI70" s="131"/>
      <c r="BJ70" s="131"/>
      <c r="BK70" s="131"/>
      <c r="BL70" s="131"/>
      <c r="BM70" s="131"/>
      <c r="BN70" s="131"/>
      <c r="BO70" s="131"/>
      <c r="BP70" s="131"/>
    </row>
    <row r="71" customHeight="1" spans="1:68">
      <c r="A71" s="45" t="str" cm="1">
        <f t="array" ref="A71">IFERROR(_xlfn.TEXTJOIN("",TRUE,_xlfn._xlws.FILTER(B73:B98&amp;ROUNDUP(K73:K98,0),B73:B98&lt;&gt;"")),"")</f>
        <v/>
      </c>
      <c r="B71" s="83" t="s">
        <v>159</v>
      </c>
      <c r="C71" s="83"/>
      <c r="D71" s="83"/>
      <c r="E71" s="83"/>
      <c r="F71" s="83"/>
      <c r="G71" s="83"/>
      <c r="H71" s="83"/>
      <c r="I71" s="83"/>
      <c r="J71" s="83"/>
      <c r="K71" s="83"/>
      <c r="L71" s="83"/>
      <c r="M71" s="83"/>
      <c r="N71" s="83"/>
      <c r="O71" s="83"/>
      <c r="P71" s="83"/>
      <c r="Q71" s="83"/>
      <c r="R71" s="83"/>
      <c r="S71" s="45"/>
      <c r="T71" s="83" t="s">
        <v>160</v>
      </c>
      <c r="U71" s="83"/>
      <c r="V71" s="83"/>
      <c r="W71" s="83"/>
      <c r="X71" s="83"/>
      <c r="Y71" s="83"/>
      <c r="Z71" s="83"/>
      <c r="AA71" s="83"/>
      <c r="AB71" s="45"/>
      <c r="AC71" s="131"/>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1"/>
      <c r="BA71" s="131"/>
      <c r="BB71" s="131"/>
      <c r="BC71" s="131"/>
      <c r="BD71" s="131"/>
      <c r="BE71" s="131"/>
      <c r="BF71" s="131"/>
      <c r="BG71" s="131"/>
      <c r="BH71" s="131"/>
      <c r="BI71" s="131"/>
      <c r="BJ71" s="131"/>
      <c r="BK71" s="131"/>
      <c r="BL71" s="131"/>
      <c r="BM71" s="131"/>
      <c r="BN71" s="131"/>
      <c r="BO71" s="131"/>
      <c r="BP71" s="131"/>
    </row>
    <row r="72" customHeight="1" spans="1:68">
      <c r="A72" s="45"/>
      <c r="B72" s="164" t="s">
        <v>109</v>
      </c>
      <c r="C72" s="164"/>
      <c r="D72" s="164"/>
      <c r="E72" s="164"/>
      <c r="F72" s="125" t="s">
        <v>104</v>
      </c>
      <c r="G72" s="125" t="s">
        <v>110</v>
      </c>
      <c r="H72" s="125" t="s">
        <v>111</v>
      </c>
      <c r="I72" s="125" t="s">
        <v>112</v>
      </c>
      <c r="J72" s="125" t="s">
        <v>106</v>
      </c>
      <c r="K72" s="126" t="s">
        <v>113</v>
      </c>
      <c r="L72" s="125" t="s">
        <v>114</v>
      </c>
      <c r="M72" s="125"/>
      <c r="N72" s="125"/>
      <c r="O72" s="125"/>
      <c r="P72" s="125"/>
      <c r="Q72" s="125"/>
      <c r="R72" s="125" t="s">
        <v>36</v>
      </c>
      <c r="S72" s="45"/>
      <c r="T72" s="165" t="s">
        <v>161</v>
      </c>
      <c r="U72" s="166"/>
      <c r="V72" s="166"/>
      <c r="W72" s="166"/>
      <c r="X72" s="166"/>
      <c r="Y72" s="166"/>
      <c r="Z72" s="166"/>
      <c r="AA72" s="167"/>
      <c r="AB72" s="45"/>
      <c r="AC72" s="131"/>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1"/>
      <c r="BA72" s="131"/>
      <c r="BB72" s="131"/>
      <c r="BC72" s="131"/>
      <c r="BD72" s="131"/>
      <c r="BE72" s="131"/>
      <c r="BF72" s="131"/>
      <c r="BG72" s="131"/>
      <c r="BH72" s="131"/>
      <c r="BI72" s="131"/>
      <c r="BJ72" s="131"/>
      <c r="BK72" s="131"/>
      <c r="BL72" s="131"/>
      <c r="BM72" s="131"/>
      <c r="BN72" s="131"/>
      <c r="BO72" s="131"/>
      <c r="BP72" s="131"/>
    </row>
    <row r="73" customHeight="1" spans="1:68">
      <c r="A73" s="45"/>
      <c r="B73" s="76"/>
      <c r="C73" s="76"/>
      <c r="D73" s="76"/>
      <c r="E73" s="76"/>
      <c r="F73" s="105" t="s">
        <v>162</v>
      </c>
      <c r="G73" s="106"/>
      <c r="H73" s="106"/>
      <c r="I73" s="106"/>
      <c r="J73" s="106"/>
      <c r="K73" s="168">
        <f t="array" ref="K73">IF(F73="S",IF(G73&lt;&gt;"",$K$15,$K$15/2),)+IF(F73="T",IF(G73&lt;&gt;"",$K$16,$K$16/2),)+IF(F73="Ag",IF(G73&lt;&gt;"",$K$17,$K$17/2),)+IF(F73="Int",IF(G73&lt;&gt;"",$K$18,_xlfn.ANCHORARRAY($K$18)/2),)+IF(F73="Per",IF(G73&lt;&gt;"",$K$19,$K$19/2),)+IF(F73="WP",IF(G73&lt;&gt;"",$K$20,_xlfn.ANCHORARRAY($K$20)/2),)+IF(F73="Fel",IF(G73&lt;&gt;"",$K$21,$K$21/2),)+IF(H73&lt;&gt;"",10,0)+IF(I73&lt;&gt;"",10,0)+IF(J73&lt;&gt;"",10,0)</f>
        <v>0</v>
      </c>
      <c r="L73" s="106"/>
      <c r="M73" s="106"/>
      <c r="N73" s="106"/>
      <c r="O73" s="106"/>
      <c r="P73" s="106"/>
      <c r="Q73" s="106"/>
      <c r="R73" s="106">
        <f t="shared" ref="R73:R98" si="3">G73+H73+I73+J73</f>
        <v>0</v>
      </c>
      <c r="S73" s="45"/>
      <c r="T73" s="169"/>
      <c r="U73" s="170"/>
      <c r="V73" s="170"/>
      <c r="W73" s="170"/>
      <c r="X73" s="170"/>
      <c r="Y73" s="170"/>
      <c r="Z73" s="170"/>
      <c r="AA73" s="171"/>
      <c r="AB73" s="45"/>
      <c r="AC73" s="131"/>
      <c r="AD73" s="134"/>
      <c r="AE73" s="134"/>
      <c r="AF73" s="134"/>
      <c r="AG73" s="134"/>
      <c r="AH73" s="134"/>
      <c r="AI73" s="134"/>
      <c r="AJ73" s="134"/>
      <c r="AK73" s="134"/>
      <c r="AL73" s="134"/>
      <c r="AM73" s="134"/>
      <c r="AN73" s="134"/>
      <c r="AO73" s="134"/>
      <c r="AP73" s="134"/>
      <c r="AQ73" s="134"/>
      <c r="AR73" s="134"/>
      <c r="AS73" s="134"/>
      <c r="AT73" s="134"/>
      <c r="AU73" s="134"/>
      <c r="AV73" s="134"/>
      <c r="AW73" s="134"/>
      <c r="AX73" s="134"/>
      <c r="AY73" s="134"/>
      <c r="AZ73" s="131"/>
      <c r="BA73" s="131"/>
      <c r="BB73" s="131"/>
      <c r="BC73" s="131"/>
      <c r="BD73" s="131"/>
      <c r="BE73" s="131"/>
      <c r="BF73" s="131"/>
      <c r="BG73" s="131"/>
      <c r="BH73" s="131"/>
      <c r="BI73" s="131"/>
      <c r="BJ73" s="131"/>
      <c r="BK73" s="131"/>
      <c r="BL73" s="131"/>
      <c r="BM73" s="131"/>
      <c r="BN73" s="131"/>
      <c r="BO73" s="131"/>
      <c r="BP73" s="131"/>
    </row>
    <row r="74" customHeight="1" spans="1:68">
      <c r="A74" s="45"/>
      <c r="B74" s="76"/>
      <c r="C74" s="76"/>
      <c r="D74" s="76"/>
      <c r="E74" s="76"/>
      <c r="F74" s="105" t="s">
        <v>162</v>
      </c>
      <c r="G74" s="106"/>
      <c r="H74" s="106"/>
      <c r="I74" s="106"/>
      <c r="J74" s="106"/>
      <c r="K74" s="168">
        <f t="array" ref="K74">IF(F74="S",IF(G74&lt;&gt;"",$K$15,$K$15/2),)+IF(F74="T",IF(G74&lt;&gt;"",$K$16,$K$16/2),)+IF(F74="Ag",IF(G74&lt;&gt;"",$K$17,$K$17/2),)+IF(F74="Int",IF(G74&lt;&gt;"",$K$18,_xlfn.ANCHORARRAY($K$18)/2),)+IF(F74="Per",IF(G74&lt;&gt;"",$K$19,$K$19/2),)+IF(F74="WP",IF(G74&lt;&gt;"",$K$20,_xlfn.ANCHORARRAY($K$20)/2),)+IF(F74="Fel",IF(G74&lt;&gt;"",$K$21,$K$21/2),)+IF(H74&lt;&gt;"",10,0)+IF(I74&lt;&gt;"",10,0)+IF(J74&lt;&gt;"",10,0)</f>
        <v>0</v>
      </c>
      <c r="L74" s="106"/>
      <c r="M74" s="106"/>
      <c r="N74" s="106"/>
      <c r="O74" s="106"/>
      <c r="P74" s="106"/>
      <c r="Q74" s="106"/>
      <c r="R74" s="106">
        <f t="shared" si="3"/>
        <v>0</v>
      </c>
      <c r="S74" s="45"/>
      <c r="T74" s="172"/>
      <c r="U74" s="173"/>
      <c r="V74" s="173"/>
      <c r="W74" s="173"/>
      <c r="X74" s="173"/>
      <c r="Y74" s="173"/>
      <c r="Z74" s="173"/>
      <c r="AA74" s="174"/>
      <c r="AB74" s="45"/>
      <c r="AC74" s="131"/>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1"/>
      <c r="BA74" s="131"/>
      <c r="BB74" s="131"/>
      <c r="BC74" s="131"/>
      <c r="BD74" s="131"/>
      <c r="BE74" s="131"/>
      <c r="BF74" s="131"/>
      <c r="BG74" s="131"/>
      <c r="BH74" s="131"/>
      <c r="BI74" s="131"/>
      <c r="BJ74" s="131"/>
      <c r="BK74" s="131"/>
      <c r="BL74" s="131"/>
      <c r="BM74" s="131"/>
      <c r="BN74" s="131"/>
      <c r="BO74" s="131"/>
      <c r="BP74" s="131"/>
    </row>
    <row r="75" customHeight="1" spans="1:68">
      <c r="A75" s="45"/>
      <c r="B75" s="76"/>
      <c r="C75" s="76"/>
      <c r="D75" s="76"/>
      <c r="E75" s="76"/>
      <c r="F75" s="105" t="s">
        <v>162</v>
      </c>
      <c r="G75" s="106"/>
      <c r="H75" s="106"/>
      <c r="I75" s="106"/>
      <c r="J75" s="106"/>
      <c r="K75" s="168">
        <f t="array" ref="K75">IF(F75="S",IF(G75&lt;&gt;"",$K$15,$K$15/2),)+IF(F75="T",IF(G75&lt;&gt;"",$K$16,$K$16/2),)+IF(F75="Ag",IF(G75&lt;&gt;"",$K$17,$K$17/2),)+IF(F75="Int",IF(G75&lt;&gt;"",$K$18,_xlfn.ANCHORARRAY($K$18)/2),)+IF(F75="Per",IF(G75&lt;&gt;"",$K$19,$K$19/2),)+IF(F75="WP",IF(G75&lt;&gt;"",$K$20,_xlfn.ANCHORARRAY($K$20)/2),)+IF(F75="Fel",IF(G75&lt;&gt;"",$K$21,$K$21/2),)+IF(H75&lt;&gt;"",10,0)+IF(I75&lt;&gt;"",10,0)+IF(J75&lt;&gt;"",10,0)</f>
        <v>0</v>
      </c>
      <c r="L75" s="106"/>
      <c r="M75" s="106"/>
      <c r="N75" s="106"/>
      <c r="O75" s="106"/>
      <c r="P75" s="106"/>
      <c r="Q75" s="106"/>
      <c r="R75" s="106">
        <f t="shared" si="3"/>
        <v>0</v>
      </c>
      <c r="S75" s="45"/>
      <c r="T75" s="165" t="s">
        <v>163</v>
      </c>
      <c r="U75" s="166"/>
      <c r="V75" s="166"/>
      <c r="W75" s="166"/>
      <c r="X75" s="166"/>
      <c r="Y75" s="166"/>
      <c r="Z75" s="166"/>
      <c r="AA75" s="167"/>
      <c r="AB75" s="45"/>
      <c r="AC75" s="131"/>
      <c r="AD75" s="134"/>
      <c r="AE75" s="134"/>
      <c r="AF75" s="134"/>
      <c r="AG75" s="134"/>
      <c r="AH75" s="134"/>
      <c r="AI75" s="134"/>
      <c r="AJ75" s="134"/>
      <c r="AK75" s="134"/>
      <c r="AL75" s="134"/>
      <c r="AM75" s="134"/>
      <c r="AN75" s="134"/>
      <c r="AO75" s="134"/>
      <c r="AP75" s="134"/>
      <c r="AQ75" s="134"/>
      <c r="AR75" s="134"/>
      <c r="AS75" s="134"/>
      <c r="AT75" s="134"/>
      <c r="AU75" s="134"/>
      <c r="AV75" s="134"/>
      <c r="AW75" s="134"/>
      <c r="AX75" s="134"/>
      <c r="AY75" s="134"/>
      <c r="AZ75" s="131"/>
      <c r="BA75" s="131"/>
      <c r="BB75" s="131"/>
      <c r="BC75" s="131"/>
      <c r="BD75" s="131"/>
      <c r="BE75" s="131"/>
      <c r="BF75" s="131"/>
      <c r="BG75" s="131"/>
      <c r="BH75" s="131"/>
      <c r="BI75" s="131"/>
      <c r="BJ75" s="131"/>
      <c r="BK75" s="131"/>
      <c r="BL75" s="131"/>
      <c r="BM75" s="131"/>
      <c r="BN75" s="131"/>
      <c r="BO75" s="131"/>
      <c r="BP75" s="131"/>
    </row>
    <row r="76" customHeight="1" spans="1:68">
      <c r="A76" s="45"/>
      <c r="B76" s="76"/>
      <c r="C76" s="76"/>
      <c r="D76" s="76"/>
      <c r="E76" s="76"/>
      <c r="F76" s="105" t="s">
        <v>162</v>
      </c>
      <c r="G76" s="106"/>
      <c r="H76" s="106"/>
      <c r="I76" s="106"/>
      <c r="J76" s="106"/>
      <c r="K76" s="168">
        <f t="array" ref="K76">IF(F76="S",IF(G76&lt;&gt;"",$K$15,$K$15/2),)+IF(F76="T",IF(G76&lt;&gt;"",$K$16,$K$16/2),)+IF(F76="Ag",IF(G76&lt;&gt;"",$K$17,$K$17/2),)+IF(F76="Int",IF(G76&lt;&gt;"",$K$18,_xlfn.ANCHORARRAY($K$18)/2),)+IF(F76="Per",IF(G76&lt;&gt;"",$K$19,$K$19/2),)+IF(F76="WP",IF(G76&lt;&gt;"",$K$20,_xlfn.ANCHORARRAY($K$20)/2),)+IF(F76="Fel",IF(G76&lt;&gt;"",$K$21,$K$21/2),)+IF(H76&lt;&gt;"",10,0)+IF(I76&lt;&gt;"",10,0)+IF(J76&lt;&gt;"",10,0)</f>
        <v>0</v>
      </c>
      <c r="L76" s="106"/>
      <c r="M76" s="106"/>
      <c r="N76" s="106"/>
      <c r="O76" s="106"/>
      <c r="P76" s="106"/>
      <c r="Q76" s="106"/>
      <c r="R76" s="106">
        <f t="shared" si="3"/>
        <v>0</v>
      </c>
      <c r="S76" s="45"/>
      <c r="T76" s="169"/>
      <c r="U76" s="170"/>
      <c r="V76" s="170"/>
      <c r="W76" s="170"/>
      <c r="X76" s="170"/>
      <c r="Y76" s="170"/>
      <c r="Z76" s="170"/>
      <c r="AA76" s="171"/>
      <c r="AB76" s="45"/>
      <c r="AC76" s="131"/>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1"/>
      <c r="BA76" s="131"/>
      <c r="BB76" s="131"/>
      <c r="BC76" s="131"/>
      <c r="BD76" s="131"/>
      <c r="BE76" s="131"/>
      <c r="BF76" s="131"/>
      <c r="BG76" s="131"/>
      <c r="BH76" s="131"/>
      <c r="BI76" s="131"/>
      <c r="BJ76" s="131"/>
      <c r="BK76" s="131"/>
      <c r="BL76" s="131"/>
      <c r="BM76" s="131"/>
      <c r="BN76" s="131"/>
      <c r="BO76" s="131"/>
      <c r="BP76" s="131"/>
    </row>
    <row r="77" customHeight="1" spans="1:68">
      <c r="A77" s="45"/>
      <c r="B77" s="76"/>
      <c r="C77" s="76"/>
      <c r="D77" s="76"/>
      <c r="E77" s="76"/>
      <c r="F77" s="105" t="s">
        <v>162</v>
      </c>
      <c r="G77" s="106"/>
      <c r="H77" s="106"/>
      <c r="I77" s="106"/>
      <c r="J77" s="106"/>
      <c r="K77" s="168">
        <f t="array" ref="K77">IF(F77="S",IF(G77&lt;&gt;"",$K$15,$K$15/2),)+IF(F77="T",IF(G77&lt;&gt;"",$K$16,$K$16/2),)+IF(F77="Ag",IF(G77&lt;&gt;"",$K$17,$K$17/2),)+IF(F77="Int",IF(G77&lt;&gt;"",$K$18,_xlfn.ANCHORARRAY($K$18)/2),)+IF(F77="Per",IF(G77&lt;&gt;"",$K$19,$K$19/2),)+IF(F77="WP",IF(G77&lt;&gt;"",$K$20,_xlfn.ANCHORARRAY($K$20)/2),)+IF(F77="Fel",IF(G77&lt;&gt;"",$K$21,$K$21/2),)+IF(H77&lt;&gt;"",10,0)+IF(I77&lt;&gt;"",10,0)+IF(J77&lt;&gt;"",10,0)</f>
        <v>0</v>
      </c>
      <c r="L77" s="106"/>
      <c r="M77" s="106"/>
      <c r="N77" s="106"/>
      <c r="O77" s="106"/>
      <c r="P77" s="106"/>
      <c r="Q77" s="106"/>
      <c r="R77" s="106">
        <f t="shared" si="3"/>
        <v>0</v>
      </c>
      <c r="S77" s="45"/>
      <c r="T77" s="172"/>
      <c r="U77" s="173"/>
      <c r="V77" s="173"/>
      <c r="W77" s="173"/>
      <c r="X77" s="173"/>
      <c r="Y77" s="173"/>
      <c r="Z77" s="173"/>
      <c r="AA77" s="174"/>
      <c r="AB77" s="45"/>
      <c r="AC77" s="131"/>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1"/>
      <c r="BA77" s="131"/>
      <c r="BB77" s="131"/>
      <c r="BC77" s="131"/>
      <c r="BD77" s="131"/>
      <c r="BE77" s="131"/>
      <c r="BF77" s="131"/>
      <c r="BG77" s="131"/>
      <c r="BH77" s="131"/>
      <c r="BI77" s="131"/>
      <c r="BJ77" s="131"/>
      <c r="BK77" s="131"/>
      <c r="BL77" s="131"/>
      <c r="BM77" s="131"/>
      <c r="BN77" s="131"/>
      <c r="BO77" s="131"/>
      <c r="BP77" s="131"/>
    </row>
    <row r="78" customHeight="1" spans="1:68">
      <c r="A78" s="45"/>
      <c r="B78" s="76"/>
      <c r="C78" s="76"/>
      <c r="D78" s="76"/>
      <c r="E78" s="76"/>
      <c r="F78" s="105" t="s">
        <v>162</v>
      </c>
      <c r="G78" s="106"/>
      <c r="H78" s="106"/>
      <c r="I78" s="106"/>
      <c r="J78" s="106"/>
      <c r="K78" s="168">
        <f t="array" ref="K78">IF(F78="S",IF(G78&lt;&gt;"",$K$15,$K$15/2),)+IF(F78="T",IF(G78&lt;&gt;"",$K$16,$K$16/2),)+IF(F78="Ag",IF(G78&lt;&gt;"",$K$17,$K$17/2),)+IF(F78="Int",IF(G78&lt;&gt;"",$K$18,_xlfn.ANCHORARRAY($K$18)/2),)+IF(F78="Per",IF(G78&lt;&gt;"",$K$19,$K$19/2),)+IF(F78="WP",IF(G78&lt;&gt;"",$K$20,_xlfn.ANCHORARRAY($K$20)/2),)+IF(F78="Fel",IF(G78&lt;&gt;"",$K$21,$K$21/2),)+IF(H78&lt;&gt;"",10,0)+IF(I78&lt;&gt;"",10,0)+IF(J78&lt;&gt;"",10,0)</f>
        <v>0</v>
      </c>
      <c r="L78" s="106"/>
      <c r="M78" s="106"/>
      <c r="N78" s="106"/>
      <c r="O78" s="106"/>
      <c r="P78" s="106"/>
      <c r="Q78" s="106"/>
      <c r="R78" s="106">
        <f t="shared" si="3"/>
        <v>0</v>
      </c>
      <c r="S78" s="45"/>
      <c r="T78" s="165" t="s">
        <v>164</v>
      </c>
      <c r="U78" s="166"/>
      <c r="V78" s="166"/>
      <c r="W78" s="166"/>
      <c r="X78" s="166"/>
      <c r="Y78" s="166"/>
      <c r="Z78" s="166"/>
      <c r="AA78" s="167"/>
      <c r="AB78" s="45"/>
      <c r="AC78" s="131"/>
      <c r="AD78" s="134"/>
      <c r="AE78" s="134"/>
      <c r="AF78" s="134"/>
      <c r="AG78" s="134"/>
      <c r="AH78" s="134"/>
      <c r="AI78" s="134"/>
      <c r="AJ78" s="134"/>
      <c r="AK78" s="134"/>
      <c r="AL78" s="134"/>
      <c r="AM78" s="134"/>
      <c r="AN78" s="134"/>
      <c r="AO78" s="134"/>
      <c r="AP78" s="134"/>
      <c r="AQ78" s="134"/>
      <c r="AR78" s="134"/>
      <c r="AS78" s="134"/>
      <c r="AT78" s="134"/>
      <c r="AU78" s="134"/>
      <c r="AV78" s="134"/>
      <c r="AW78" s="134"/>
      <c r="AX78" s="134"/>
      <c r="AY78" s="134"/>
      <c r="AZ78" s="131"/>
      <c r="BA78" s="131"/>
      <c r="BB78" s="131"/>
      <c r="BC78" s="131"/>
      <c r="BD78" s="131"/>
      <c r="BE78" s="131"/>
      <c r="BF78" s="131"/>
      <c r="BG78" s="131"/>
      <c r="BH78" s="131"/>
      <c r="BI78" s="131"/>
      <c r="BJ78" s="131"/>
      <c r="BK78" s="131"/>
      <c r="BL78" s="131"/>
      <c r="BM78" s="131"/>
      <c r="BN78" s="131"/>
      <c r="BO78" s="131"/>
      <c r="BP78" s="131"/>
    </row>
    <row r="79" customHeight="1" spans="1:68">
      <c r="A79" s="45"/>
      <c r="B79" s="76"/>
      <c r="C79" s="76"/>
      <c r="D79" s="76"/>
      <c r="E79" s="76"/>
      <c r="F79" s="105" t="s">
        <v>162</v>
      </c>
      <c r="G79" s="106"/>
      <c r="H79" s="106"/>
      <c r="I79" s="106"/>
      <c r="J79" s="106"/>
      <c r="K79" s="168">
        <f t="array" ref="K79">IF(F79="S",IF(G79&lt;&gt;"",$K$15,$K$15/2),)+IF(F79="T",IF(G79&lt;&gt;"",$K$16,$K$16/2),)+IF(F79="Ag",IF(G79&lt;&gt;"",$K$17,$K$17/2),)+IF(F79="Int",IF(G79&lt;&gt;"",$K$18,_xlfn.ANCHORARRAY($K$18)/2),)+IF(F79="Per",IF(G79&lt;&gt;"",$K$19,$K$19/2),)+IF(F79="WP",IF(G79&lt;&gt;"",$K$20,_xlfn.ANCHORARRAY($K$20)/2),)+IF(F79="Fel",IF(G79&lt;&gt;"",$K$21,$K$21/2),)+IF(H79&lt;&gt;"",10,0)+IF(I79&lt;&gt;"",10,0)+IF(J79&lt;&gt;"",10,0)</f>
        <v>0</v>
      </c>
      <c r="L79" s="106"/>
      <c r="M79" s="106"/>
      <c r="N79" s="106"/>
      <c r="O79" s="106"/>
      <c r="P79" s="106"/>
      <c r="Q79" s="106"/>
      <c r="R79" s="106">
        <f t="shared" si="3"/>
        <v>0</v>
      </c>
      <c r="S79" s="45"/>
      <c r="T79" s="169"/>
      <c r="U79" s="170"/>
      <c r="V79" s="170"/>
      <c r="W79" s="170"/>
      <c r="X79" s="170"/>
      <c r="Y79" s="170"/>
      <c r="Z79" s="170"/>
      <c r="AA79" s="171"/>
      <c r="AB79" s="45"/>
      <c r="AC79" s="131"/>
      <c r="AD79" s="134"/>
      <c r="AE79" s="134"/>
      <c r="AF79" s="134"/>
      <c r="AG79" s="134"/>
      <c r="AH79" s="134"/>
      <c r="AI79" s="134"/>
      <c r="AJ79" s="134"/>
      <c r="AK79" s="134"/>
      <c r="AL79" s="134"/>
      <c r="AM79" s="134"/>
      <c r="AN79" s="134"/>
      <c r="AO79" s="134"/>
      <c r="AP79" s="134"/>
      <c r="AQ79" s="134"/>
      <c r="AR79" s="134"/>
      <c r="AS79" s="134"/>
      <c r="AT79" s="134"/>
      <c r="AU79" s="134"/>
      <c r="AV79" s="134"/>
      <c r="AW79" s="134"/>
      <c r="AX79" s="134"/>
      <c r="AY79" s="134"/>
    </row>
    <row r="80" customHeight="1" spans="1:68">
      <c r="A80" s="45"/>
      <c r="B80" s="76"/>
      <c r="C80" s="76"/>
      <c r="D80" s="76"/>
      <c r="E80" s="76"/>
      <c r="F80" s="105" t="s">
        <v>162</v>
      </c>
      <c r="G80" s="106"/>
      <c r="H80" s="106"/>
      <c r="I80" s="106"/>
      <c r="J80" s="106"/>
      <c r="K80" s="168">
        <f t="array" ref="K80">IF(F80="S",IF(G80&lt;&gt;"",$K$15,$K$15/2),)+IF(F80="T",IF(G80&lt;&gt;"",$K$16,$K$16/2),)+IF(F80="Ag",IF(G80&lt;&gt;"",$K$17,$K$17/2),)+IF(F80="Int",IF(G80&lt;&gt;"",$K$18,_xlfn.ANCHORARRAY($K$18)/2),)+IF(F80="Per",IF(G80&lt;&gt;"",$K$19,$K$19/2),)+IF(F80="WP",IF(G80&lt;&gt;"",$K$20,_xlfn.ANCHORARRAY($K$20)/2),)+IF(F80="Fel",IF(G80&lt;&gt;"",$K$21,$K$21/2),)+IF(H80&lt;&gt;"",10,0)+IF(I80&lt;&gt;"",10,0)+IF(J80&lt;&gt;"",10,0)</f>
        <v>0</v>
      </c>
      <c r="L80" s="106"/>
      <c r="M80" s="106"/>
      <c r="N80" s="106"/>
      <c r="O80" s="106"/>
      <c r="P80" s="106"/>
      <c r="Q80" s="106"/>
      <c r="R80" s="106">
        <f t="shared" si="3"/>
        <v>0</v>
      </c>
      <c r="S80" s="45"/>
      <c r="T80" s="175"/>
      <c r="AA80" s="176"/>
      <c r="AB80" s="45"/>
      <c r="AC80" s="131"/>
      <c r="AD80" s="134"/>
      <c r="AE80" s="134"/>
      <c r="AF80" s="134"/>
      <c r="AG80" s="134"/>
      <c r="AH80" s="134"/>
      <c r="AI80" s="134"/>
      <c r="AJ80" s="134"/>
      <c r="AK80" s="134"/>
      <c r="AL80" s="134"/>
      <c r="AM80" s="134"/>
      <c r="AN80" s="134"/>
      <c r="AO80" s="134"/>
      <c r="AP80" s="134"/>
      <c r="AQ80" s="134"/>
      <c r="AR80" s="134"/>
      <c r="AS80" s="134"/>
      <c r="AT80" s="134"/>
      <c r="AU80" s="134"/>
      <c r="AV80" s="134"/>
      <c r="AW80" s="134"/>
      <c r="AX80" s="134"/>
      <c r="AY80" s="134"/>
    </row>
    <row r="81" customHeight="1" spans="1:69">
      <c r="A81" s="45"/>
      <c r="B81" s="76"/>
      <c r="C81" s="76"/>
      <c r="D81" s="76"/>
      <c r="E81" s="76"/>
      <c r="F81" s="105" t="s">
        <v>162</v>
      </c>
      <c r="G81" s="106"/>
      <c r="H81" s="106"/>
      <c r="I81" s="106"/>
      <c r="J81" s="106"/>
      <c r="K81" s="168">
        <f t="array" ref="K81">IF(F81="S",IF(G81&lt;&gt;"",$K$15,$K$15/2),)+IF(F81="T",IF(G81&lt;&gt;"",$K$16,$K$16/2),)+IF(F81="Ag",IF(G81&lt;&gt;"",$K$17,$K$17/2),)+IF(F81="Int",IF(G81&lt;&gt;"",$K$18,_xlfn.ANCHORARRAY($K$18)/2),)+IF(F81="Per",IF(G81&lt;&gt;"",$K$19,$K$19/2),)+IF(F81="WP",IF(G81&lt;&gt;"",$K$20,_xlfn.ANCHORARRAY($K$20)/2),)+IF(F81="Fel",IF(G81&lt;&gt;"",$K$21,$K$21/2),)+IF(H81&lt;&gt;"",10,0)+IF(I81&lt;&gt;"",10,0)+IF(J81&lt;&gt;"",10,0)</f>
        <v>0</v>
      </c>
      <c r="L81" s="106"/>
      <c r="M81" s="106"/>
      <c r="N81" s="106"/>
      <c r="O81" s="106"/>
      <c r="P81" s="106"/>
      <c r="Q81" s="106"/>
      <c r="R81" s="106">
        <f t="shared" si="3"/>
        <v>0</v>
      </c>
      <c r="S81" s="45"/>
      <c r="T81" s="175"/>
      <c r="AA81" s="176"/>
      <c r="AB81" s="45"/>
      <c r="AC81" s="131"/>
      <c r="AD81" s="134"/>
      <c r="AE81" s="134"/>
      <c r="AF81" s="134"/>
      <c r="AG81" s="134"/>
      <c r="AH81" s="134"/>
      <c r="AI81" s="134"/>
      <c r="AJ81" s="134"/>
      <c r="AK81" s="134"/>
      <c r="AL81" s="134"/>
      <c r="AM81" s="134"/>
      <c r="AN81" s="134"/>
      <c r="AO81" s="134"/>
      <c r="AP81" s="134"/>
      <c r="AQ81" s="134"/>
      <c r="AR81" s="134"/>
      <c r="AS81" s="134"/>
      <c r="AT81" s="134"/>
      <c r="AU81" s="134"/>
      <c r="AV81" s="134"/>
      <c r="AW81" s="134"/>
      <c r="AX81" s="134"/>
      <c r="AY81" s="134"/>
      <c r="AZ81" s="131"/>
      <c r="BA81" s="131"/>
      <c r="BB81" s="131"/>
      <c r="BC81" s="131"/>
      <c r="BD81" s="131"/>
      <c r="BE81" s="131"/>
      <c r="BF81" s="131"/>
      <c r="BG81" s="131"/>
      <c r="BH81" s="131"/>
      <c r="BI81" s="131"/>
      <c r="BJ81" s="131"/>
      <c r="BK81" s="131"/>
      <c r="BL81" s="131"/>
      <c r="BM81" s="131"/>
      <c r="BN81" s="131"/>
      <c r="BO81" s="131"/>
      <c r="BP81" s="131"/>
      <c r="BQ81" s="131"/>
    </row>
    <row r="82" customHeight="1" spans="1:69">
      <c r="A82" s="45"/>
      <c r="B82" s="76"/>
      <c r="C82" s="76"/>
      <c r="D82" s="76"/>
      <c r="E82" s="76"/>
      <c r="F82" s="105" t="s">
        <v>162</v>
      </c>
      <c r="G82" s="106"/>
      <c r="H82" s="106"/>
      <c r="I82" s="106"/>
      <c r="J82" s="106"/>
      <c r="K82" s="168">
        <f t="array" ref="K82">IF(F82="S",IF(G82&lt;&gt;"",$K$15,$K$15/2),)+IF(F82="T",IF(G82&lt;&gt;"",$K$16,$K$16/2),)+IF(F82="Ag",IF(G82&lt;&gt;"",$K$17,$K$17/2),)+IF(F82="Int",IF(G82&lt;&gt;"",$K$18,_xlfn.ANCHORARRAY($K$18)/2),)+IF(F82="Per",IF(G82&lt;&gt;"",$K$19,$K$19/2),)+IF(F82="WP",IF(G82&lt;&gt;"",$K$20,_xlfn.ANCHORARRAY($K$20)/2),)+IF(F82="Fel",IF(G82&lt;&gt;"",$K$21,$K$21/2),)+IF(H82&lt;&gt;"",10,0)+IF(I82&lt;&gt;"",10,0)+IF(J82&lt;&gt;"",10,0)</f>
        <v>0</v>
      </c>
      <c r="L82" s="106"/>
      <c r="M82" s="106"/>
      <c r="N82" s="106"/>
      <c r="O82" s="106"/>
      <c r="P82" s="106"/>
      <c r="Q82" s="106"/>
      <c r="R82" s="106">
        <f t="shared" si="3"/>
        <v>0</v>
      </c>
      <c r="S82" s="45"/>
      <c r="T82" s="172"/>
      <c r="U82" s="173"/>
      <c r="V82" s="173"/>
      <c r="W82" s="173"/>
      <c r="X82" s="173"/>
      <c r="Y82" s="173"/>
      <c r="Z82" s="173"/>
      <c r="AA82" s="174"/>
      <c r="AB82" s="45"/>
      <c r="AC82" s="131"/>
      <c r="AD82" s="134"/>
      <c r="AE82" s="134"/>
      <c r="AF82" s="134"/>
      <c r="AG82" s="134"/>
      <c r="AH82" s="134"/>
      <c r="AI82" s="134"/>
      <c r="AJ82" s="134"/>
      <c r="AK82" s="134"/>
      <c r="AL82" s="134"/>
      <c r="AM82" s="134"/>
      <c r="AN82" s="134"/>
      <c r="AO82" s="134"/>
      <c r="AP82" s="134"/>
      <c r="AQ82" s="134"/>
      <c r="AR82" s="134"/>
      <c r="AS82" s="134"/>
      <c r="AT82" s="134"/>
      <c r="AU82" s="134"/>
      <c r="AV82" s="134"/>
      <c r="AW82" s="134"/>
      <c r="AX82" s="134"/>
      <c r="AY82" s="134"/>
      <c r="AZ82" s="131"/>
      <c r="BA82" s="131"/>
      <c r="BB82" s="131"/>
      <c r="BC82" s="131"/>
      <c r="BD82" s="131"/>
      <c r="BE82" s="131"/>
      <c r="BF82" s="131"/>
      <c r="BG82" s="131"/>
      <c r="BH82" s="131"/>
      <c r="BI82" s="131"/>
      <c r="BJ82" s="131"/>
      <c r="BK82" s="131"/>
      <c r="BL82" s="131"/>
      <c r="BM82" s="131"/>
      <c r="BN82" s="131"/>
      <c r="BO82" s="131"/>
      <c r="BP82" s="131"/>
      <c r="BQ82" s="131"/>
    </row>
    <row r="83" customHeight="1" spans="1:69">
      <c r="A83" s="45"/>
      <c r="B83" s="76"/>
      <c r="C83" s="76"/>
      <c r="D83" s="76"/>
      <c r="E83" s="76"/>
      <c r="F83" s="105" t="s">
        <v>162</v>
      </c>
      <c r="G83" s="106"/>
      <c r="H83" s="106"/>
      <c r="I83" s="106"/>
      <c r="J83" s="106"/>
      <c r="K83" s="168">
        <f t="array" ref="K83">IF(F83="S",IF(G83&lt;&gt;"",$K$15,$K$15/2),)+IF(F83="T",IF(G83&lt;&gt;"",$K$16,$K$16/2),)+IF(F83="Ag",IF(G83&lt;&gt;"",$K$17,$K$17/2),)+IF(F83="Int",IF(G83&lt;&gt;"",$K$18,_xlfn.ANCHORARRAY($K$18)/2),)+IF(F83="Per",IF(G83&lt;&gt;"",$K$19,$K$19/2),)+IF(F83="WP",IF(G83&lt;&gt;"",$K$20,_xlfn.ANCHORARRAY($K$20)/2),)+IF(F83="Fel",IF(G83&lt;&gt;"",$K$21,$K$21/2),)+IF(H83&lt;&gt;"",10,0)+IF(I83&lt;&gt;"",10,0)+IF(J83&lt;&gt;"",10,0)</f>
        <v>0</v>
      </c>
      <c r="L83" s="106"/>
      <c r="M83" s="106"/>
      <c r="N83" s="106"/>
      <c r="O83" s="106"/>
      <c r="P83" s="106"/>
      <c r="Q83" s="106"/>
      <c r="R83" s="106">
        <f t="shared" si="3"/>
        <v>0</v>
      </c>
      <c r="S83" s="45"/>
      <c r="T83" s="45"/>
      <c r="U83" s="45"/>
      <c r="V83" s="45"/>
      <c r="W83" s="45"/>
      <c r="X83" s="45"/>
      <c r="Y83" s="45"/>
      <c r="Z83" s="45"/>
      <c r="AA83" s="45"/>
      <c r="AB83" s="45"/>
      <c r="AC83" s="131"/>
      <c r="AD83" s="134"/>
      <c r="AE83" s="134"/>
      <c r="AF83" s="134"/>
      <c r="AG83" s="134"/>
      <c r="AH83" s="134"/>
      <c r="AI83" s="134"/>
      <c r="AJ83" s="134"/>
      <c r="AK83" s="134"/>
      <c r="AL83" s="134"/>
      <c r="AM83" s="134"/>
      <c r="AN83" s="134"/>
      <c r="AO83" s="134"/>
      <c r="AP83" s="134"/>
      <c r="AQ83" s="134"/>
      <c r="AR83" s="134"/>
      <c r="AS83" s="134"/>
      <c r="AT83" s="134"/>
      <c r="AU83" s="134"/>
      <c r="AV83" s="134"/>
      <c r="AW83" s="134"/>
      <c r="AX83" s="134"/>
      <c r="AY83" s="134"/>
      <c r="AZ83" s="131"/>
      <c r="BA83" s="131"/>
      <c r="BB83" s="131"/>
      <c r="BC83" s="131"/>
      <c r="BD83" s="131"/>
      <c r="BE83" s="131"/>
      <c r="BF83" s="131"/>
      <c r="BG83" s="131"/>
      <c r="BH83" s="131"/>
      <c r="BI83" s="131"/>
      <c r="BJ83" s="131"/>
      <c r="BK83" s="131"/>
      <c r="BL83" s="131"/>
      <c r="BM83" s="131"/>
      <c r="BN83" s="131"/>
      <c r="BO83" s="131"/>
      <c r="BP83" s="131"/>
      <c r="BQ83" s="131"/>
    </row>
    <row r="84" customHeight="1" spans="1:69">
      <c r="A84" s="45"/>
      <c r="B84" s="76"/>
      <c r="C84" s="76"/>
      <c r="D84" s="76"/>
      <c r="E84" s="76"/>
      <c r="F84" s="105" t="s">
        <v>162</v>
      </c>
      <c r="G84" s="106"/>
      <c r="H84" s="106"/>
      <c r="I84" s="106"/>
      <c r="J84" s="106"/>
      <c r="K84" s="168">
        <f t="array" ref="K84">IF(F84="S",IF(G84&lt;&gt;"",$K$15,$K$15/2),)+IF(F84="T",IF(G84&lt;&gt;"",$K$16,$K$16/2),)+IF(F84="Ag",IF(G84&lt;&gt;"",$K$17,$K$17/2),)+IF(F84="Int",IF(G84&lt;&gt;"",$K$18,_xlfn.ANCHORARRAY($K$18)/2),)+IF(F84="Per",IF(G84&lt;&gt;"",$K$19,$K$19/2),)+IF(F84="WP",IF(G84&lt;&gt;"",$K$20,_xlfn.ANCHORARRAY($K$20)/2),)+IF(F84="Fel",IF(G84&lt;&gt;"",$K$21,$K$21/2),)+IF(H84&lt;&gt;"",10,0)+IF(I84&lt;&gt;"",10,0)+IF(J84&lt;&gt;"",10,0)</f>
        <v>0</v>
      </c>
      <c r="L84" s="106"/>
      <c r="M84" s="106"/>
      <c r="N84" s="106"/>
      <c r="O84" s="106"/>
      <c r="P84" s="106"/>
      <c r="Q84" s="106"/>
      <c r="R84" s="106">
        <f t="shared" si="3"/>
        <v>0</v>
      </c>
      <c r="S84" s="45"/>
      <c r="T84" s="83" t="s">
        <v>33</v>
      </c>
      <c r="U84" s="83"/>
      <c r="V84" s="83"/>
      <c r="W84" s="83"/>
      <c r="X84" s="83"/>
      <c r="Y84" s="83"/>
      <c r="Z84" s="83"/>
      <c r="AA84" s="83"/>
      <c r="AB84" s="45"/>
      <c r="AC84" s="131"/>
      <c r="AD84" s="134"/>
      <c r="AE84" s="134"/>
      <c r="AF84" s="134"/>
      <c r="AG84" s="134"/>
      <c r="AH84" s="134"/>
      <c r="AI84" s="134"/>
      <c r="AJ84" s="134"/>
      <c r="AK84" s="134"/>
      <c r="AL84" s="134"/>
      <c r="AM84" s="134"/>
      <c r="AN84" s="134"/>
      <c r="AO84" s="134"/>
      <c r="AP84" s="134"/>
      <c r="AQ84" s="134"/>
      <c r="AR84" s="134"/>
      <c r="AS84" s="134"/>
      <c r="AT84" s="134"/>
      <c r="AU84" s="134"/>
      <c r="AV84" s="134"/>
      <c r="AW84" s="134"/>
      <c r="AX84" s="134"/>
      <c r="AY84" s="134"/>
      <c r="AZ84" s="131"/>
      <c r="BA84" s="131"/>
      <c r="BB84" s="131"/>
      <c r="BC84" s="131"/>
      <c r="BD84" s="131"/>
      <c r="BE84" s="131"/>
      <c r="BF84" s="131"/>
      <c r="BG84" s="131"/>
      <c r="BH84" s="131"/>
      <c r="BI84" s="131"/>
      <c r="BJ84" s="131"/>
      <c r="BK84" s="131"/>
      <c r="BL84" s="131"/>
      <c r="BM84" s="131"/>
      <c r="BN84" s="131"/>
      <c r="BO84" s="131"/>
      <c r="BP84" s="131"/>
      <c r="BQ84" s="131"/>
    </row>
    <row r="85" customHeight="1" spans="1:69">
      <c r="A85" s="45"/>
      <c r="B85" s="76"/>
      <c r="C85" s="76"/>
      <c r="D85" s="76"/>
      <c r="E85" s="76"/>
      <c r="F85" s="105" t="s">
        <v>162</v>
      </c>
      <c r="G85" s="106"/>
      <c r="H85" s="106"/>
      <c r="I85" s="106"/>
      <c r="J85" s="106"/>
      <c r="K85" s="168">
        <f t="array" ref="K85">IF(F85="S",IF(G85&lt;&gt;"",$K$15,$K$15/2),)+IF(F85="T",IF(G85&lt;&gt;"",$K$16,$K$16/2),)+IF(F85="Ag",IF(G85&lt;&gt;"",$K$17,$K$17/2),)+IF(F85="Int",IF(G85&lt;&gt;"",$K$18,_xlfn.ANCHORARRAY($K$18)/2),)+IF(F85="Per",IF(G85&lt;&gt;"",$K$19,$K$19/2),)+IF(F85="WP",IF(G85&lt;&gt;"",$K$20,_xlfn.ANCHORARRAY($K$20)/2),)+IF(F85="Fel",IF(G85&lt;&gt;"",$K$21,$K$21/2),)+IF(H85&lt;&gt;"",10,0)+IF(I85&lt;&gt;"",10,0)+IF(J85&lt;&gt;"",10,0)</f>
        <v>0</v>
      </c>
      <c r="L85" s="106"/>
      <c r="M85" s="106"/>
      <c r="N85" s="106"/>
      <c r="O85" s="106"/>
      <c r="P85" s="106"/>
      <c r="Q85" s="106"/>
      <c r="R85" s="106">
        <f t="shared" si="3"/>
        <v>0</v>
      </c>
      <c r="S85" s="45"/>
      <c r="T85" s="169"/>
      <c r="U85" s="170"/>
      <c r="V85" s="170"/>
      <c r="W85" s="170"/>
      <c r="X85" s="170"/>
      <c r="Y85" s="170"/>
      <c r="Z85" s="170"/>
      <c r="AA85" s="171"/>
      <c r="AB85" s="45"/>
      <c r="AC85" s="131"/>
      <c r="AD85" s="134"/>
      <c r="AE85" s="134"/>
      <c r="AF85" s="134"/>
      <c r="AG85" s="134"/>
      <c r="AH85" s="134"/>
      <c r="AI85" s="134"/>
      <c r="AJ85" s="134"/>
      <c r="AK85" s="134"/>
      <c r="AL85" s="134"/>
      <c r="AM85" s="134"/>
      <c r="AN85" s="134"/>
      <c r="AO85" s="134"/>
      <c r="AP85" s="134"/>
      <c r="AQ85" s="134"/>
      <c r="AR85" s="134"/>
      <c r="AS85" s="134"/>
      <c r="AT85" s="134"/>
      <c r="AU85" s="134"/>
      <c r="AV85" s="134"/>
      <c r="AW85" s="134"/>
      <c r="AX85" s="134"/>
      <c r="AY85" s="134"/>
      <c r="AZ85" s="131"/>
      <c r="BA85" s="131"/>
      <c r="BB85" s="131"/>
      <c r="BC85" s="131"/>
      <c r="BD85" s="131"/>
      <c r="BE85" s="131"/>
      <c r="BF85" s="131"/>
      <c r="BG85" s="131"/>
      <c r="BH85" s="131"/>
      <c r="BI85" s="131"/>
      <c r="BJ85" s="131"/>
      <c r="BK85" s="131"/>
      <c r="BL85" s="131"/>
      <c r="BM85" s="131"/>
      <c r="BN85" s="131"/>
      <c r="BO85" s="131"/>
      <c r="BP85" s="131"/>
      <c r="BQ85" s="131"/>
    </row>
    <row r="86" customHeight="1" spans="1:69">
      <c r="A86" s="45"/>
      <c r="B86" s="76"/>
      <c r="C86" s="76"/>
      <c r="D86" s="76"/>
      <c r="E86" s="76"/>
      <c r="F86" s="105" t="s">
        <v>162</v>
      </c>
      <c r="G86" s="106"/>
      <c r="H86" s="106"/>
      <c r="I86" s="106"/>
      <c r="J86" s="106"/>
      <c r="K86" s="168">
        <f t="array" ref="K86">IF(F86="S",IF(G86&lt;&gt;"",$K$15,$K$15/2),)+IF(F86="T",IF(G86&lt;&gt;"",$K$16,$K$16/2),)+IF(F86="Ag",IF(G86&lt;&gt;"",$K$17,$K$17/2),)+IF(F86="Int",IF(G86&lt;&gt;"",$K$18,_xlfn.ANCHORARRAY($K$18)/2),)+IF(F86="Per",IF(G86&lt;&gt;"",$K$19,$K$19/2),)+IF(F86="WP",IF(G86&lt;&gt;"",$K$20,_xlfn.ANCHORARRAY($K$20)/2),)+IF(F86="Fel",IF(G86&lt;&gt;"",$K$21,$K$21/2),)+IF(H86&lt;&gt;"",10,0)+IF(I86&lt;&gt;"",10,0)+IF(J86&lt;&gt;"",10,0)</f>
        <v>0</v>
      </c>
      <c r="L86" s="106"/>
      <c r="M86" s="106"/>
      <c r="N86" s="106"/>
      <c r="O86" s="106"/>
      <c r="P86" s="106"/>
      <c r="Q86" s="106"/>
      <c r="R86" s="106">
        <f t="shared" si="3"/>
        <v>0</v>
      </c>
      <c r="S86" s="45"/>
      <c r="T86" s="175"/>
      <c r="AA86" s="176"/>
      <c r="AB86" s="45"/>
      <c r="AC86" s="131"/>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1"/>
      <c r="BA86" s="131"/>
      <c r="BB86" s="131"/>
      <c r="BC86" s="131"/>
      <c r="BD86" s="131"/>
      <c r="BE86" s="131"/>
      <c r="BF86" s="131"/>
      <c r="BG86" s="131"/>
      <c r="BH86" s="131"/>
      <c r="BI86" s="131"/>
      <c r="BJ86" s="131"/>
      <c r="BK86" s="131"/>
      <c r="BL86" s="131"/>
      <c r="BM86" s="131"/>
      <c r="BN86" s="131"/>
      <c r="BO86" s="131"/>
      <c r="BP86" s="131"/>
      <c r="BQ86" s="131"/>
    </row>
    <row r="87" customHeight="1" spans="1:69">
      <c r="A87" s="45"/>
      <c r="B87" s="76"/>
      <c r="C87" s="76"/>
      <c r="D87" s="76"/>
      <c r="E87" s="76"/>
      <c r="F87" s="105" t="s">
        <v>162</v>
      </c>
      <c r="G87" s="106"/>
      <c r="H87" s="106"/>
      <c r="I87" s="106"/>
      <c r="J87" s="106"/>
      <c r="K87" s="168">
        <f t="array" ref="K87">IF(F87="S",IF(G87&lt;&gt;"",$K$15,$K$15/2),)+IF(F87="T",IF(G87&lt;&gt;"",$K$16,$K$16/2),)+IF(F87="Ag",IF(G87&lt;&gt;"",$K$17,$K$17/2),)+IF(F87="Int",IF(G87&lt;&gt;"",$K$18,_xlfn.ANCHORARRAY($K$18)/2),)+IF(F87="Per",IF(G87&lt;&gt;"",$K$19,$K$19/2),)+IF(F87="WP",IF(G87&lt;&gt;"",$K$20,_xlfn.ANCHORARRAY($K$20)/2),)+IF(F87="Fel",IF(G87&lt;&gt;"",$K$21,$K$21/2),)+IF(H87&lt;&gt;"",10,0)+IF(I87&lt;&gt;"",10,0)+IF(J87&lt;&gt;"",10,0)</f>
        <v>0</v>
      </c>
      <c r="L87" s="106"/>
      <c r="M87" s="106"/>
      <c r="N87" s="106"/>
      <c r="O87" s="106"/>
      <c r="P87" s="106"/>
      <c r="Q87" s="106"/>
      <c r="R87" s="106">
        <f t="shared" si="3"/>
        <v>0</v>
      </c>
      <c r="S87" s="45"/>
      <c r="T87" s="175"/>
      <c r="AA87" s="176"/>
      <c r="AB87" s="45"/>
      <c r="AC87" s="131"/>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1"/>
      <c r="BA87" s="131"/>
      <c r="BB87" s="131"/>
      <c r="BC87" s="131"/>
      <c r="BD87" s="131"/>
      <c r="BE87" s="131"/>
      <c r="BF87" s="131"/>
      <c r="BG87" s="131"/>
      <c r="BH87" s="131"/>
      <c r="BI87" s="131"/>
      <c r="BJ87" s="131"/>
      <c r="BK87" s="131"/>
      <c r="BL87" s="131"/>
      <c r="BM87" s="131"/>
      <c r="BN87" s="131"/>
      <c r="BO87" s="131"/>
      <c r="BP87" s="131"/>
      <c r="BQ87" s="131"/>
    </row>
    <row r="88" customHeight="1" spans="1:69">
      <c r="A88" s="45"/>
      <c r="B88" s="76"/>
      <c r="C88" s="76"/>
      <c r="D88" s="76"/>
      <c r="E88" s="76"/>
      <c r="F88" s="105" t="s">
        <v>162</v>
      </c>
      <c r="G88" s="106"/>
      <c r="H88" s="106"/>
      <c r="I88" s="106"/>
      <c r="J88" s="106"/>
      <c r="K88" s="168">
        <f t="array" ref="K88">IF(F88="S",IF(G88&lt;&gt;"",$K$15,$K$15/2),)+IF(F88="T",IF(G88&lt;&gt;"",$K$16,$K$16/2),)+IF(F88="Ag",IF(G88&lt;&gt;"",$K$17,$K$17/2),)+IF(F88="Int",IF(G88&lt;&gt;"",$K$18,_xlfn.ANCHORARRAY($K$18)/2),)+IF(F88="Per",IF(G88&lt;&gt;"",$K$19,$K$19/2),)+IF(F88="WP",IF(G88&lt;&gt;"",$K$20,_xlfn.ANCHORARRAY($K$20)/2),)+IF(F88="Fel",IF(G88&lt;&gt;"",$K$21,$K$21/2),)+IF(H88&lt;&gt;"",10,0)+IF(I88&lt;&gt;"",10,0)+IF(J88&lt;&gt;"",10,0)</f>
        <v>0</v>
      </c>
      <c r="L88" s="106"/>
      <c r="M88" s="106"/>
      <c r="N88" s="106"/>
      <c r="O88" s="106"/>
      <c r="P88" s="106"/>
      <c r="Q88" s="106"/>
      <c r="R88" s="106">
        <f t="shared" si="3"/>
        <v>0</v>
      </c>
      <c r="S88" s="45"/>
      <c r="T88" s="175"/>
      <c r="AA88" s="176"/>
      <c r="AB88" s="45"/>
      <c r="AC88" s="131"/>
      <c r="AD88" s="134"/>
      <c r="AE88" s="134"/>
      <c r="AF88" s="134"/>
      <c r="AG88" s="134"/>
      <c r="AH88" s="134"/>
      <c r="AI88" s="134"/>
      <c r="AJ88" s="134"/>
      <c r="AK88" s="134"/>
      <c r="AL88" s="134"/>
      <c r="AM88" s="134"/>
      <c r="AN88" s="134"/>
      <c r="AO88" s="134"/>
      <c r="AP88" s="134"/>
      <c r="AQ88" s="134"/>
      <c r="AR88" s="134"/>
      <c r="AS88" s="134"/>
      <c r="AT88" s="134"/>
      <c r="AU88" s="134"/>
      <c r="AV88" s="134"/>
      <c r="AW88" s="134"/>
      <c r="AX88" s="134"/>
      <c r="AY88" s="134"/>
      <c r="AZ88" s="131"/>
      <c r="BA88" s="131"/>
      <c r="BB88" s="131"/>
      <c r="BC88" s="131"/>
      <c r="BD88" s="131"/>
      <c r="BE88" s="131"/>
      <c r="BF88" s="131"/>
      <c r="BG88" s="131"/>
      <c r="BH88" s="131"/>
      <c r="BI88" s="131"/>
      <c r="BJ88" s="131"/>
      <c r="BK88" s="131"/>
      <c r="BL88" s="131"/>
      <c r="BM88" s="131"/>
      <c r="BN88" s="131"/>
      <c r="BO88" s="131"/>
      <c r="BP88" s="131"/>
      <c r="BQ88" s="131"/>
    </row>
    <row r="89" customHeight="1" spans="1:69">
      <c r="A89" s="45"/>
      <c r="B89" s="76"/>
      <c r="C89" s="76"/>
      <c r="D89" s="76"/>
      <c r="E89" s="76"/>
      <c r="F89" s="105" t="s">
        <v>162</v>
      </c>
      <c r="G89" s="106"/>
      <c r="H89" s="106"/>
      <c r="I89" s="106"/>
      <c r="J89" s="106"/>
      <c r="K89" s="168">
        <f t="array" ref="K89">IF(F89="S",IF(G89&lt;&gt;"",$K$15,$K$15/2),)+IF(F89="T",IF(G89&lt;&gt;"",$K$16,$K$16/2),)+IF(F89="Ag",IF(G89&lt;&gt;"",$K$17,$K$17/2),)+IF(F89="Int",IF(G89&lt;&gt;"",$K$18,_xlfn.ANCHORARRAY($K$18)/2),)+IF(F89="Per",IF(G89&lt;&gt;"",$K$19,$K$19/2),)+IF(F89="WP",IF(G89&lt;&gt;"",$K$20,_xlfn.ANCHORARRAY($K$20)/2),)+IF(F89="Fel",IF(G89&lt;&gt;"",$K$21,$K$21/2),)+IF(H89&lt;&gt;"",10,0)+IF(I89&lt;&gt;"",10,0)+IF(J89&lt;&gt;"",10,0)</f>
        <v>0</v>
      </c>
      <c r="L89" s="106"/>
      <c r="M89" s="106"/>
      <c r="N89" s="106"/>
      <c r="O89" s="106"/>
      <c r="P89" s="106"/>
      <c r="Q89" s="106"/>
      <c r="R89" s="106">
        <f t="shared" si="3"/>
        <v>0</v>
      </c>
      <c r="S89" s="45"/>
      <c r="T89" s="175"/>
      <c r="AA89" s="176"/>
      <c r="AB89" s="45"/>
      <c r="AC89" s="131"/>
      <c r="AD89" s="134"/>
      <c r="AE89" s="134"/>
      <c r="AF89" s="134"/>
      <c r="AG89" s="134"/>
      <c r="AH89" s="134"/>
      <c r="AI89" s="134"/>
      <c r="AJ89" s="134"/>
      <c r="AK89" s="134"/>
      <c r="AL89" s="134"/>
      <c r="AM89" s="134"/>
      <c r="AN89" s="134"/>
      <c r="AO89" s="134"/>
      <c r="AP89" s="134"/>
      <c r="AQ89" s="134"/>
      <c r="AR89" s="134"/>
      <c r="AS89" s="134"/>
      <c r="AT89" s="134"/>
      <c r="AU89" s="134"/>
      <c r="AV89" s="134"/>
      <c r="AW89" s="134"/>
      <c r="AX89" s="134"/>
      <c r="AY89" s="134"/>
      <c r="AZ89" s="131"/>
      <c r="BA89" s="131"/>
      <c r="BB89" s="131"/>
      <c r="BC89" s="131"/>
      <c r="BD89" s="131"/>
      <c r="BE89" s="131"/>
      <c r="BF89" s="131"/>
      <c r="BG89" s="131"/>
      <c r="BH89" s="131"/>
      <c r="BI89" s="131"/>
      <c r="BJ89" s="131"/>
      <c r="BK89" s="131"/>
      <c r="BL89" s="131"/>
      <c r="BM89" s="131"/>
      <c r="BN89" s="131"/>
      <c r="BO89" s="131"/>
      <c r="BP89" s="131"/>
      <c r="BQ89" s="131"/>
    </row>
    <row r="90" customHeight="1" spans="1:69">
      <c r="A90" s="45"/>
      <c r="B90" s="76"/>
      <c r="C90" s="76"/>
      <c r="D90" s="76"/>
      <c r="E90" s="76"/>
      <c r="F90" s="105" t="s">
        <v>162</v>
      </c>
      <c r="G90" s="106"/>
      <c r="H90" s="106"/>
      <c r="I90" s="106"/>
      <c r="J90" s="106"/>
      <c r="K90" s="168">
        <f t="array" ref="K90">IF(F90="S",IF(G90&lt;&gt;"",$K$15,$K$15/2),)+IF(F90="T",IF(G90&lt;&gt;"",$K$16,$K$16/2),)+IF(F90="Ag",IF(G90&lt;&gt;"",$K$17,$K$17/2),)+IF(F90="Int",IF(G90&lt;&gt;"",$K$18,_xlfn.ANCHORARRAY($K$18)/2),)+IF(F90="Per",IF(G90&lt;&gt;"",$K$19,$K$19/2),)+IF(F90="WP",IF(G90&lt;&gt;"",$K$20,_xlfn.ANCHORARRAY($K$20)/2),)+IF(F90="Fel",IF(G90&lt;&gt;"",$K$21,$K$21/2),)+IF(H90&lt;&gt;"",10,0)+IF(I90&lt;&gt;"",10,0)+IF(J90&lt;&gt;"",10,0)</f>
        <v>0</v>
      </c>
      <c r="L90" s="106"/>
      <c r="M90" s="106"/>
      <c r="N90" s="106"/>
      <c r="O90" s="106"/>
      <c r="P90" s="106"/>
      <c r="Q90" s="106"/>
      <c r="R90" s="106">
        <f t="shared" si="3"/>
        <v>0</v>
      </c>
      <c r="S90" s="45"/>
      <c r="T90" s="175"/>
      <c r="AA90" s="176"/>
      <c r="AB90" s="45"/>
      <c r="AC90" s="131"/>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1"/>
      <c r="BA90" s="131"/>
      <c r="BB90" s="131"/>
      <c r="BC90" s="131"/>
      <c r="BD90" s="131"/>
      <c r="BE90" s="131"/>
      <c r="BF90" s="131"/>
      <c r="BG90" s="131"/>
      <c r="BH90" s="131"/>
      <c r="BI90" s="131"/>
      <c r="BJ90" s="131"/>
      <c r="BK90" s="131"/>
      <c r="BL90" s="131"/>
      <c r="BM90" s="131"/>
      <c r="BN90" s="131"/>
      <c r="BO90" s="131"/>
      <c r="BP90" s="131"/>
      <c r="BQ90" s="131"/>
    </row>
    <row r="91" customHeight="1" spans="1:69">
      <c r="A91" s="45"/>
      <c r="B91" s="76"/>
      <c r="C91" s="76"/>
      <c r="D91" s="76"/>
      <c r="E91" s="76"/>
      <c r="F91" s="105" t="s">
        <v>162</v>
      </c>
      <c r="G91" s="106"/>
      <c r="H91" s="106"/>
      <c r="I91" s="106"/>
      <c r="J91" s="106"/>
      <c r="K91" s="168">
        <f t="array" ref="K91">IF(F91="S",IF(G91&lt;&gt;"",$K$15,$K$15/2),)+IF(F91="T",IF(G91&lt;&gt;"",$K$16,$K$16/2),)+IF(F91="Ag",IF(G91&lt;&gt;"",$K$17,$K$17/2),)+IF(F91="Int",IF(G91&lt;&gt;"",$K$18,_xlfn.ANCHORARRAY($K$18)/2),)+IF(F91="Per",IF(G91&lt;&gt;"",$K$19,$K$19/2),)+IF(F91="WP",IF(G91&lt;&gt;"",$K$20,_xlfn.ANCHORARRAY($K$20)/2),)+IF(F91="Fel",IF(G91&lt;&gt;"",$K$21,$K$21/2),)+IF(H91&lt;&gt;"",10,0)+IF(I91&lt;&gt;"",10,0)+IF(J91&lt;&gt;"",10,0)</f>
        <v>0</v>
      </c>
      <c r="L91" s="84"/>
      <c r="M91" s="84"/>
      <c r="N91" s="84"/>
      <c r="O91" s="84"/>
      <c r="P91" s="84"/>
      <c r="Q91" s="84"/>
      <c r="R91" s="106">
        <f t="shared" si="3"/>
        <v>0</v>
      </c>
      <c r="S91" s="45"/>
      <c r="T91" s="175"/>
      <c r="AA91" s="176"/>
      <c r="AB91" s="45"/>
      <c r="AC91" s="131"/>
      <c r="AD91" s="134"/>
      <c r="AE91" s="134"/>
      <c r="AF91" s="134"/>
      <c r="AG91" s="134"/>
      <c r="AH91" s="134"/>
      <c r="AI91" s="134"/>
      <c r="AJ91" s="134"/>
      <c r="AK91" s="134"/>
      <c r="AL91" s="134"/>
      <c r="AM91" s="134"/>
      <c r="AN91" s="134"/>
      <c r="AO91" s="134"/>
      <c r="AP91" s="134"/>
      <c r="AQ91" s="134"/>
      <c r="AR91" s="134"/>
      <c r="AS91" s="134"/>
      <c r="AT91" s="134"/>
      <c r="AU91" s="134"/>
      <c r="AV91" s="134"/>
      <c r="AW91" s="134"/>
      <c r="AX91" s="134"/>
      <c r="AY91" s="134"/>
      <c r="AZ91" s="131"/>
      <c r="BA91" s="131"/>
      <c r="BB91" s="131"/>
      <c r="BC91" s="131"/>
      <c r="BD91" s="131"/>
      <c r="BE91" s="131"/>
      <c r="BF91" s="131"/>
      <c r="BG91" s="131"/>
      <c r="BH91" s="131"/>
      <c r="BI91" s="131"/>
      <c r="BJ91" s="131"/>
      <c r="BK91" s="131"/>
      <c r="BL91" s="131"/>
      <c r="BM91" s="131"/>
      <c r="BN91" s="131"/>
      <c r="BO91" s="131"/>
      <c r="BP91" s="131"/>
      <c r="BQ91" s="131"/>
    </row>
    <row r="92" customHeight="1" spans="1:69">
      <c r="A92" s="45"/>
      <c r="B92" s="76"/>
      <c r="C92" s="76"/>
      <c r="D92" s="76"/>
      <c r="E92" s="76"/>
      <c r="F92" s="105" t="s">
        <v>162</v>
      </c>
      <c r="G92" s="106"/>
      <c r="H92" s="106"/>
      <c r="I92" s="106"/>
      <c r="J92" s="106"/>
      <c r="K92" s="168">
        <f t="array" ref="K92">IF(F92="S",IF(G92&lt;&gt;"",$K$15,$K$15/2),)+IF(F92="T",IF(G92&lt;&gt;"",$K$16,$K$16/2),)+IF(F92="Ag",IF(G92&lt;&gt;"",$K$17,$K$17/2),)+IF(F92="Int",IF(G92&lt;&gt;"",$K$18,_xlfn.ANCHORARRAY($K$18)/2),)+IF(F92="Per",IF(G92&lt;&gt;"",$K$19,$K$19/2),)+IF(F92="WP",IF(G92&lt;&gt;"",$K$20,_xlfn.ANCHORARRAY($K$20)/2),)+IF(F92="Fel",IF(G92&lt;&gt;"",$K$21,$K$21/2),)+IF(H92&lt;&gt;"",10,0)+IF(I92&lt;&gt;"",10,0)+IF(J92&lt;&gt;"",10,0)</f>
        <v>0</v>
      </c>
      <c r="L92" s="84"/>
      <c r="M92" s="84"/>
      <c r="N92" s="84"/>
      <c r="O92" s="84"/>
      <c r="P92" s="84"/>
      <c r="Q92" s="84"/>
      <c r="R92" s="106">
        <f t="shared" si="3"/>
        <v>0</v>
      </c>
      <c r="S92" s="45"/>
      <c r="T92" s="175"/>
      <c r="AA92" s="176"/>
      <c r="AB92" s="45"/>
      <c r="AC92" s="131"/>
      <c r="AD92" s="134"/>
      <c r="AE92" s="134"/>
      <c r="AF92" s="134"/>
      <c r="AG92" s="134"/>
      <c r="AH92" s="134"/>
      <c r="AI92" s="134"/>
      <c r="AJ92" s="134"/>
      <c r="AK92" s="134"/>
      <c r="AL92" s="134"/>
      <c r="AM92" s="134"/>
      <c r="AN92" s="134"/>
      <c r="AO92" s="134"/>
      <c r="AP92" s="134"/>
      <c r="AQ92" s="134"/>
      <c r="AR92" s="134"/>
      <c r="AS92" s="134"/>
      <c r="AT92" s="134"/>
      <c r="AU92" s="134"/>
      <c r="AV92" s="134"/>
      <c r="AW92" s="134"/>
      <c r="AX92" s="134"/>
      <c r="AY92" s="134"/>
      <c r="AZ92" s="131"/>
      <c r="BA92" s="131"/>
      <c r="BB92" s="131"/>
      <c r="BC92" s="131"/>
      <c r="BD92" s="131"/>
      <c r="BE92" s="131"/>
      <c r="BF92" s="131"/>
      <c r="BG92" s="131"/>
      <c r="BH92" s="131"/>
      <c r="BI92" s="131"/>
      <c r="BJ92" s="131"/>
      <c r="BK92" s="131"/>
      <c r="BL92" s="131"/>
      <c r="BM92" s="131"/>
      <c r="BN92" s="131"/>
      <c r="BO92" s="131"/>
      <c r="BP92" s="131"/>
      <c r="BQ92" s="131"/>
    </row>
    <row r="93" customHeight="1" spans="1:69">
      <c r="A93" s="45"/>
      <c r="B93" s="76"/>
      <c r="C93" s="76"/>
      <c r="D93" s="76"/>
      <c r="E93" s="76"/>
      <c r="F93" s="105" t="s">
        <v>162</v>
      </c>
      <c r="G93" s="106"/>
      <c r="H93" s="106"/>
      <c r="I93" s="106"/>
      <c r="J93" s="106"/>
      <c r="K93" s="168">
        <f t="array" ref="K93">IF(F93="S",IF(G93&lt;&gt;"",$K$15,$K$15/2),)+IF(F93="T",IF(G93&lt;&gt;"",$K$16,$K$16/2),)+IF(F93="Ag",IF(G93&lt;&gt;"",$K$17,$K$17/2),)+IF(F93="Int",IF(G93&lt;&gt;"",$K$18,_xlfn.ANCHORARRAY($K$18)/2),)+IF(F93="Per",IF(G93&lt;&gt;"",$K$19,$K$19/2),)+IF(F93="WP",IF(G93&lt;&gt;"",$K$20,_xlfn.ANCHORARRAY($K$20)/2),)+IF(F93="Fel",IF(G93&lt;&gt;"",$K$21,$K$21/2),)+IF(H93&lt;&gt;"",10,0)+IF(I93&lt;&gt;"",10,0)+IF(J93&lt;&gt;"",10,0)</f>
        <v>0</v>
      </c>
      <c r="L93" s="106"/>
      <c r="M93" s="106"/>
      <c r="N93" s="106"/>
      <c r="O93" s="106"/>
      <c r="P93" s="106"/>
      <c r="Q93" s="106"/>
      <c r="R93" s="106">
        <f t="shared" si="3"/>
        <v>0</v>
      </c>
      <c r="S93" s="45"/>
      <c r="T93" s="175"/>
      <c r="AA93" s="176"/>
      <c r="AB93" s="45"/>
      <c r="AC93" s="131"/>
      <c r="AD93" s="134"/>
      <c r="AE93" s="134"/>
      <c r="AF93" s="134"/>
      <c r="AG93" s="134"/>
      <c r="AH93" s="134"/>
      <c r="AI93" s="134"/>
      <c r="AJ93" s="134"/>
      <c r="AK93" s="134"/>
      <c r="AL93" s="134"/>
      <c r="AM93" s="134"/>
      <c r="AN93" s="134"/>
      <c r="AO93" s="134"/>
      <c r="AP93" s="134"/>
      <c r="AQ93" s="134"/>
      <c r="AR93" s="134"/>
      <c r="AS93" s="134"/>
      <c r="AT93" s="134"/>
      <c r="AU93" s="134"/>
      <c r="AV93" s="134"/>
      <c r="AW93" s="134"/>
      <c r="AX93" s="134"/>
      <c r="AY93" s="134"/>
      <c r="AZ93" s="131"/>
      <c r="BA93" s="131"/>
      <c r="BB93" s="131"/>
      <c r="BC93" s="131"/>
      <c r="BD93" s="131"/>
      <c r="BE93" s="131"/>
      <c r="BF93" s="131"/>
      <c r="BG93" s="131"/>
      <c r="BH93" s="131"/>
      <c r="BI93" s="131"/>
      <c r="BJ93" s="131"/>
      <c r="BK93" s="131"/>
      <c r="BL93" s="131"/>
      <c r="BM93" s="131"/>
      <c r="BN93" s="131"/>
      <c r="BO93" s="131"/>
      <c r="BP93" s="131"/>
      <c r="BQ93" s="131"/>
    </row>
    <row r="94" customHeight="1" spans="1:69">
      <c r="A94" s="45"/>
      <c r="B94" s="76"/>
      <c r="C94" s="76"/>
      <c r="D94" s="76"/>
      <c r="E94" s="76"/>
      <c r="F94" s="105" t="s">
        <v>162</v>
      </c>
      <c r="G94" s="106"/>
      <c r="H94" s="106"/>
      <c r="I94" s="106"/>
      <c r="J94" s="106"/>
      <c r="K94" s="168">
        <f t="array" ref="K94">IF(F94="S",IF(G94&lt;&gt;"",$K$15,$K$15/2),)+IF(F94="T",IF(G94&lt;&gt;"",$K$16,$K$16/2),)+IF(F94="Ag",IF(G94&lt;&gt;"",$K$17,$K$17/2),)+IF(F94="Int",IF(G94&lt;&gt;"",$K$18,_xlfn.ANCHORARRAY($K$18)/2),)+IF(F94="Per",IF(G94&lt;&gt;"",$K$19,$K$19/2),)+IF(F94="WP",IF(G94&lt;&gt;"",$K$20,_xlfn.ANCHORARRAY($K$20)/2),)+IF(F94="Fel",IF(G94&lt;&gt;"",$K$21,$K$21/2),)+IF(H94&lt;&gt;"",10,0)+IF(I94&lt;&gt;"",10,0)+IF(J94&lt;&gt;"",10,0)</f>
        <v>0</v>
      </c>
      <c r="L94" s="106"/>
      <c r="M94" s="106"/>
      <c r="N94" s="106"/>
      <c r="O94" s="106"/>
      <c r="P94" s="106"/>
      <c r="Q94" s="106"/>
      <c r="R94" s="106">
        <f t="shared" si="3"/>
        <v>0</v>
      </c>
      <c r="S94" s="45"/>
      <c r="T94" s="175"/>
      <c r="AA94" s="176"/>
      <c r="AB94" s="45"/>
      <c r="AC94" s="131"/>
      <c r="AD94" s="134"/>
      <c r="AE94" s="134"/>
      <c r="AF94" s="134"/>
      <c r="AG94" s="134"/>
      <c r="AH94" s="134"/>
      <c r="AI94" s="134"/>
      <c r="AJ94" s="134"/>
      <c r="AK94" s="134"/>
      <c r="AL94" s="134"/>
      <c r="AM94" s="134"/>
      <c r="AN94" s="134"/>
      <c r="AO94" s="134"/>
      <c r="AP94" s="134"/>
      <c r="AQ94" s="134"/>
      <c r="AR94" s="134"/>
      <c r="AS94" s="134"/>
      <c r="AT94" s="134"/>
      <c r="AU94" s="134"/>
      <c r="AV94" s="134"/>
      <c r="AW94" s="134"/>
      <c r="AX94" s="134"/>
      <c r="AY94" s="134"/>
      <c r="AZ94" s="131"/>
      <c r="BA94" s="131"/>
      <c r="BB94" s="131"/>
      <c r="BC94" s="131"/>
      <c r="BD94" s="131"/>
      <c r="BE94" s="131"/>
      <c r="BF94" s="131"/>
      <c r="BG94" s="131"/>
      <c r="BH94" s="131"/>
      <c r="BI94" s="131"/>
      <c r="BJ94" s="131"/>
      <c r="BK94" s="131"/>
      <c r="BL94" s="131"/>
      <c r="BM94" s="131"/>
      <c r="BN94" s="131"/>
      <c r="BO94" s="131"/>
      <c r="BP94" s="131"/>
      <c r="BQ94" s="131"/>
    </row>
    <row r="95" customHeight="1" spans="1:69">
      <c r="A95" s="45"/>
      <c r="B95" s="76"/>
      <c r="C95" s="76"/>
      <c r="D95" s="76"/>
      <c r="E95" s="76"/>
      <c r="F95" s="105" t="s">
        <v>162</v>
      </c>
      <c r="G95" s="106"/>
      <c r="H95" s="106"/>
      <c r="I95" s="106"/>
      <c r="J95" s="106"/>
      <c r="K95" s="168">
        <f t="array" ref="K95">IF(F95="S",IF(G95&lt;&gt;"",$K$15,$K$15/2),)+IF(F95="T",IF(G95&lt;&gt;"",$K$16,$K$16/2),)+IF(F95="Ag",IF(G95&lt;&gt;"",$K$17,$K$17/2),)+IF(F95="Int",IF(G95&lt;&gt;"",$K$18,_xlfn.ANCHORARRAY($K$18)/2),)+IF(F95="Per",IF(G95&lt;&gt;"",$K$19,$K$19/2),)+IF(F95="WP",IF(G95&lt;&gt;"",$K$20,_xlfn.ANCHORARRAY($K$20)/2),)+IF(F95="Fel",IF(G95&lt;&gt;"",$K$21,$K$21/2),)+IF(H95&lt;&gt;"",10,0)+IF(I95&lt;&gt;"",10,0)+IF(J95&lt;&gt;"",10,0)</f>
        <v>0</v>
      </c>
      <c r="L95" s="106"/>
      <c r="M95" s="106"/>
      <c r="N95" s="106"/>
      <c r="O95" s="106"/>
      <c r="P95" s="106"/>
      <c r="Q95" s="106"/>
      <c r="R95" s="106">
        <f t="shared" si="3"/>
        <v>0</v>
      </c>
      <c r="S95" s="45"/>
      <c r="T95" s="175"/>
      <c r="AA95" s="176"/>
      <c r="AB95" s="45"/>
      <c r="AC95" s="131"/>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1"/>
      <c r="BA95" s="131"/>
      <c r="BB95" s="131"/>
      <c r="BC95" s="131"/>
      <c r="BD95" s="131"/>
      <c r="BE95" s="131"/>
      <c r="BF95" s="131"/>
      <c r="BG95" s="131"/>
      <c r="BH95" s="131"/>
      <c r="BI95" s="131"/>
      <c r="BJ95" s="131"/>
      <c r="BK95" s="131"/>
      <c r="BL95" s="131"/>
      <c r="BM95" s="131"/>
      <c r="BN95" s="131"/>
      <c r="BO95" s="131"/>
      <c r="BP95" s="131"/>
      <c r="BQ95" s="131"/>
    </row>
    <row r="96" customHeight="1" spans="1:69">
      <c r="A96" s="45"/>
      <c r="B96" s="76"/>
      <c r="C96" s="76"/>
      <c r="D96" s="76"/>
      <c r="E96" s="76"/>
      <c r="F96" s="105" t="s">
        <v>162</v>
      </c>
      <c r="G96" s="106"/>
      <c r="H96" s="106"/>
      <c r="I96" s="106"/>
      <c r="J96" s="106"/>
      <c r="K96" s="168">
        <f t="array" ref="K96">IF(F96="S",IF(G96&lt;&gt;"",$K$15,$K$15/2),)+IF(F96="T",IF(G96&lt;&gt;"",$K$16,$K$16/2),)+IF(F96="Ag",IF(G96&lt;&gt;"",$K$17,$K$17/2),)+IF(F96="Int",IF(G96&lt;&gt;"",$K$18,_xlfn.ANCHORARRAY($K$18)/2),)+IF(F96="Per",IF(G96&lt;&gt;"",$K$19,$K$19/2),)+IF(F96="WP",IF(G96&lt;&gt;"",$K$20,_xlfn.ANCHORARRAY($K$20)/2),)+IF(F96="Fel",IF(G96&lt;&gt;"",$K$21,$K$21/2),)+IF(H96&lt;&gt;"",10,0)+IF(I96&lt;&gt;"",10,0)+IF(J96&lt;&gt;"",10,0)</f>
        <v>0</v>
      </c>
      <c r="L96" s="106"/>
      <c r="M96" s="106"/>
      <c r="N96" s="106"/>
      <c r="O96" s="106"/>
      <c r="P96" s="106"/>
      <c r="Q96" s="106"/>
      <c r="R96" s="106">
        <f t="shared" si="3"/>
        <v>0</v>
      </c>
      <c r="S96" s="45"/>
      <c r="T96" s="175"/>
      <c r="AA96" s="176"/>
      <c r="AB96" s="45"/>
      <c r="AC96" s="131"/>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1"/>
      <c r="BA96" s="131"/>
      <c r="BB96" s="131"/>
      <c r="BC96" s="131"/>
      <c r="BD96" s="131"/>
      <c r="BE96" s="131"/>
      <c r="BF96" s="131"/>
      <c r="BG96" s="131"/>
      <c r="BH96" s="131"/>
      <c r="BI96" s="131"/>
      <c r="BJ96" s="131"/>
      <c r="BK96" s="131"/>
      <c r="BL96" s="131"/>
      <c r="BM96" s="131"/>
      <c r="BN96" s="131"/>
      <c r="BO96" s="131"/>
      <c r="BP96" s="131"/>
      <c r="BQ96" s="131"/>
    </row>
    <row r="97" customHeight="1" spans="1:69">
      <c r="A97" s="45"/>
      <c r="B97" s="76"/>
      <c r="C97" s="76"/>
      <c r="D97" s="76"/>
      <c r="E97" s="76"/>
      <c r="F97" s="105" t="s">
        <v>162</v>
      </c>
      <c r="G97" s="106"/>
      <c r="H97" s="106"/>
      <c r="I97" s="106"/>
      <c r="J97" s="106"/>
      <c r="K97" s="168">
        <f t="array" ref="K97">IF(F97="S",IF(G97&lt;&gt;"",$K$15,$K$15/2),)+IF(F97="T",IF(G97&lt;&gt;"",$K$16,$K$16/2),)+IF(F97="Ag",IF(G97&lt;&gt;"",$K$17,$K$17/2),)+IF(F97="Int",IF(G97&lt;&gt;"",$K$18,_xlfn.ANCHORARRAY($K$18)/2),)+IF(F97="Per",IF(G97&lt;&gt;"",$K$19,$K$19/2),)+IF(F97="WP",IF(G97&lt;&gt;"",$K$20,_xlfn.ANCHORARRAY($K$20)/2),)+IF(F97="Fel",IF(G97&lt;&gt;"",$K$21,$K$21/2),)+IF(H97&lt;&gt;"",10,0)+IF(I97&lt;&gt;"",10,0)+IF(J97&lt;&gt;"",10,0)</f>
        <v>0</v>
      </c>
      <c r="L97" s="106"/>
      <c r="M97" s="106"/>
      <c r="N97" s="106"/>
      <c r="O97" s="106"/>
      <c r="P97" s="106"/>
      <c r="Q97" s="106"/>
      <c r="R97" s="106">
        <f t="shared" si="3"/>
        <v>0</v>
      </c>
      <c r="S97" s="45"/>
      <c r="T97" s="175"/>
      <c r="AA97" s="176"/>
      <c r="AB97" s="45"/>
      <c r="AC97" s="131"/>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1"/>
      <c r="BA97" s="131"/>
      <c r="BB97" s="131"/>
      <c r="BC97" s="131"/>
      <c r="BD97" s="131"/>
      <c r="BE97" s="131"/>
      <c r="BF97" s="131"/>
      <c r="BG97" s="131"/>
      <c r="BH97" s="131"/>
      <c r="BI97" s="131"/>
      <c r="BJ97" s="131"/>
      <c r="BK97" s="131"/>
      <c r="BL97" s="131"/>
      <c r="BM97" s="131"/>
      <c r="BN97" s="131"/>
      <c r="BO97" s="131"/>
      <c r="BP97" s="131"/>
      <c r="BQ97" s="131"/>
    </row>
    <row r="98" customHeight="1" spans="1:69">
      <c r="A98" s="45"/>
      <c r="B98" s="76"/>
      <c r="C98" s="76"/>
      <c r="D98" s="76"/>
      <c r="E98" s="76"/>
      <c r="F98" s="105" t="s">
        <v>162</v>
      </c>
      <c r="G98" s="106"/>
      <c r="H98" s="106"/>
      <c r="I98" s="106"/>
      <c r="J98" s="106"/>
      <c r="K98" s="168">
        <f t="array" ref="K98">IF(F98="S",IF(G98&lt;&gt;"",$K$15,$K$15/2),)+IF(F98="T",IF(G98&lt;&gt;"",$K$16,$K$16/2),)+IF(F98="Ag",IF(G98&lt;&gt;"",$K$17,$K$17/2),)+IF(F98="Int",IF(G98&lt;&gt;"",$K$18,_xlfn.ANCHORARRAY($K$18)/2),)+IF(F98="Per",IF(G98&lt;&gt;"",$K$19,$K$19/2),)+IF(F98="WP",IF(G98&lt;&gt;"",$K$20,_xlfn.ANCHORARRAY($K$20)/2),)+IF(F98="Fel",IF(G98&lt;&gt;"",$K$21,$K$21/2),)+IF(H98&lt;&gt;"",10,0)+IF(I98&lt;&gt;"",10,0)+IF(J98&lt;&gt;"",10,0)</f>
        <v>0</v>
      </c>
      <c r="L98" s="106"/>
      <c r="M98" s="106"/>
      <c r="N98" s="106"/>
      <c r="O98" s="106"/>
      <c r="P98" s="106"/>
      <c r="Q98" s="106"/>
      <c r="R98" s="106">
        <f t="shared" si="3"/>
        <v>0</v>
      </c>
      <c r="S98" s="45"/>
      <c r="T98" s="172"/>
      <c r="U98" s="173"/>
      <c r="V98" s="173"/>
      <c r="W98" s="173"/>
      <c r="X98" s="173"/>
      <c r="Y98" s="173"/>
      <c r="Z98" s="173"/>
      <c r="AA98" s="174"/>
      <c r="AB98" s="45"/>
      <c r="AC98" s="131"/>
      <c r="AD98" s="134"/>
      <c r="AE98" s="134"/>
      <c r="AF98" s="134"/>
      <c r="AG98" s="134"/>
      <c r="AH98" s="134"/>
      <c r="AI98" s="134"/>
      <c r="AJ98" s="134"/>
      <c r="AK98" s="134"/>
      <c r="AL98" s="134"/>
      <c r="AM98" s="134"/>
      <c r="AN98" s="134"/>
      <c r="AO98" s="134"/>
      <c r="AP98" s="134"/>
      <c r="AQ98" s="134"/>
      <c r="AR98" s="134"/>
      <c r="AS98" s="134"/>
      <c r="AT98" s="134"/>
      <c r="AU98" s="134"/>
      <c r="AV98" s="134"/>
      <c r="AW98" s="134"/>
      <c r="AX98" s="134"/>
      <c r="AY98" s="134"/>
      <c r="AZ98" s="131"/>
      <c r="BA98" s="131"/>
      <c r="BB98" s="131"/>
      <c r="BC98" s="131"/>
      <c r="BD98" s="131"/>
      <c r="BE98" s="131"/>
      <c r="BF98" s="131"/>
      <c r="BG98" s="131"/>
      <c r="BH98" s="131"/>
      <c r="BI98" s="131"/>
      <c r="BJ98" s="131"/>
      <c r="BK98" s="131"/>
      <c r="BL98" s="131"/>
      <c r="BM98" s="131"/>
      <c r="BN98" s="131"/>
      <c r="BO98" s="131"/>
      <c r="BP98" s="131"/>
      <c r="BQ98" s="131"/>
    </row>
    <row r="99" customHeight="1" spans="1:69">
      <c r="A99" s="45"/>
      <c r="B99" s="45"/>
      <c r="C99" s="45"/>
      <c r="D99" s="45"/>
      <c r="E99" s="45"/>
      <c r="F99" s="45"/>
      <c r="G99" s="45"/>
      <c r="H99" s="45"/>
      <c r="I99" s="45"/>
      <c r="J99" s="45"/>
      <c r="K99" s="45"/>
      <c r="L99" s="45"/>
      <c r="M99" s="45"/>
      <c r="N99" s="45"/>
      <c r="O99" s="45"/>
      <c r="P99" s="45"/>
      <c r="Q99" s="45"/>
      <c r="R99" s="95">
        <f>SUM(R73:R98)</f>
        <v>0</v>
      </c>
      <c r="S99" s="45"/>
      <c r="T99" s="45"/>
      <c r="U99" s="45"/>
      <c r="V99" s="45"/>
      <c r="W99" s="45"/>
      <c r="X99" s="45"/>
      <c r="Y99" s="45"/>
      <c r="Z99" s="45"/>
      <c r="AA99" s="45"/>
      <c r="AB99" s="45"/>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1"/>
      <c r="BA99" s="131"/>
      <c r="BB99" s="131"/>
      <c r="BC99" s="131"/>
      <c r="BD99" s="131"/>
      <c r="BE99" s="131"/>
      <c r="BF99" s="131"/>
      <c r="BG99" s="131"/>
      <c r="BH99" s="131"/>
      <c r="BI99" s="131"/>
      <c r="BJ99" s="131"/>
      <c r="BK99" s="131"/>
      <c r="BL99" s="131"/>
      <c r="BM99" s="131"/>
      <c r="BN99" s="131"/>
      <c r="BO99" s="131"/>
      <c r="BP99" s="131"/>
      <c r="BQ99" s="131"/>
    </row>
    <row r="100" customHeight="1" spans="1:69">
      <c r="A100" s="45"/>
      <c r="B100" s="177" t="s">
        <v>165</v>
      </c>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45"/>
      <c r="AC100" s="131"/>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131"/>
      <c r="BA100" s="131"/>
      <c r="BB100" s="131"/>
      <c r="BC100" s="131"/>
      <c r="BD100" s="131"/>
      <c r="BE100" s="131"/>
      <c r="BF100" s="131"/>
      <c r="BG100" s="131"/>
      <c r="BH100" s="131"/>
      <c r="BI100" s="131"/>
      <c r="BJ100" s="131"/>
      <c r="BK100" s="131"/>
      <c r="BL100" s="131"/>
      <c r="BM100" s="131"/>
      <c r="BN100" s="131"/>
      <c r="BO100" s="131"/>
      <c r="BP100" s="131"/>
      <c r="BQ100" s="131"/>
    </row>
    <row r="101" customHeight="1" spans="1:69">
      <c r="A101" s="45"/>
      <c r="B101" s="178" t="s">
        <v>109</v>
      </c>
      <c r="C101" s="179"/>
      <c r="D101" s="179"/>
      <c r="E101" s="179"/>
      <c r="F101" s="179"/>
      <c r="G101" s="180"/>
      <c r="H101" s="181" t="s">
        <v>36</v>
      </c>
      <c r="I101" s="182" t="s">
        <v>166</v>
      </c>
      <c r="J101" s="183"/>
      <c r="K101" s="183"/>
      <c r="L101" s="183"/>
      <c r="M101" s="183"/>
      <c r="N101" s="183"/>
      <c r="O101" s="183"/>
      <c r="P101" s="183"/>
      <c r="Q101" s="183"/>
      <c r="R101" s="183"/>
      <c r="S101" s="183"/>
      <c r="T101" s="183"/>
      <c r="U101" s="183"/>
      <c r="V101" s="183"/>
      <c r="W101" s="183"/>
      <c r="X101" s="183"/>
      <c r="Y101" s="183"/>
      <c r="Z101" s="183"/>
      <c r="AA101" s="184"/>
      <c r="AB101" s="45"/>
      <c r="AC101" s="131"/>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131"/>
      <c r="BA101" s="131"/>
      <c r="BB101" s="131"/>
      <c r="BC101" s="131"/>
      <c r="BD101" s="131"/>
      <c r="BE101" s="131"/>
      <c r="BF101" s="131"/>
      <c r="BG101" s="131"/>
      <c r="BH101" s="131"/>
      <c r="BI101" s="131"/>
      <c r="BJ101" s="131"/>
      <c r="BK101" s="131"/>
      <c r="BL101" s="131"/>
      <c r="BM101" s="131"/>
      <c r="BN101" s="131"/>
      <c r="BO101" s="131"/>
      <c r="BP101" s="131"/>
      <c r="BQ101" s="131"/>
    </row>
    <row r="102" customHeight="1" spans="1:69">
      <c r="A102" s="45"/>
      <c r="B102" s="185"/>
      <c r="C102" s="186"/>
      <c r="D102" s="186"/>
      <c r="E102" s="186"/>
      <c r="F102" s="186"/>
      <c r="G102" s="186"/>
      <c r="H102" s="187"/>
      <c r="I102" s="188"/>
      <c r="J102" s="188"/>
      <c r="K102" s="188"/>
      <c r="L102" s="188"/>
      <c r="M102" s="188"/>
      <c r="N102" s="188"/>
      <c r="O102" s="188"/>
      <c r="P102" s="188"/>
      <c r="Q102" s="188"/>
      <c r="R102" s="188"/>
      <c r="S102" s="188"/>
      <c r="T102" s="188"/>
      <c r="U102" s="188"/>
      <c r="V102" s="188"/>
      <c r="W102" s="188"/>
      <c r="X102" s="188"/>
      <c r="Y102" s="188"/>
      <c r="Z102" s="188"/>
      <c r="AA102" s="188"/>
      <c r="AB102" s="45"/>
      <c r="AC102" s="131"/>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131"/>
      <c r="BA102" s="131"/>
      <c r="BB102" s="131"/>
      <c r="BC102" s="131"/>
      <c r="BD102" s="131"/>
      <c r="BE102" s="131"/>
      <c r="BF102" s="131"/>
      <c r="BG102" s="131"/>
      <c r="BH102" s="131"/>
      <c r="BI102" s="131"/>
      <c r="BJ102" s="131"/>
      <c r="BK102" s="131"/>
      <c r="BL102" s="131"/>
      <c r="BM102" s="131"/>
      <c r="BN102" s="131"/>
      <c r="BO102" s="131"/>
      <c r="BP102" s="131"/>
      <c r="BQ102" s="131"/>
    </row>
    <row r="103" customHeight="1" spans="1:69">
      <c r="A103" s="45"/>
      <c r="B103" s="185"/>
      <c r="C103" s="186"/>
      <c r="D103" s="186"/>
      <c r="E103" s="186"/>
      <c r="F103" s="186"/>
      <c r="G103" s="186"/>
      <c r="H103" s="187"/>
      <c r="I103" s="188"/>
      <c r="J103" s="188"/>
      <c r="K103" s="188"/>
      <c r="L103" s="188"/>
      <c r="M103" s="188"/>
      <c r="N103" s="188"/>
      <c r="O103" s="188"/>
      <c r="P103" s="188"/>
      <c r="Q103" s="188"/>
      <c r="R103" s="188"/>
      <c r="S103" s="188"/>
      <c r="T103" s="188"/>
      <c r="U103" s="188"/>
      <c r="V103" s="188"/>
      <c r="W103" s="188"/>
      <c r="X103" s="188"/>
      <c r="Y103" s="188"/>
      <c r="Z103" s="188"/>
      <c r="AA103" s="188"/>
      <c r="AB103" s="45"/>
      <c r="AC103" s="131"/>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1"/>
      <c r="BA103" s="131"/>
      <c r="BB103" s="131"/>
      <c r="BC103" s="131"/>
      <c r="BD103" s="131"/>
      <c r="BE103" s="131"/>
      <c r="BF103" s="131"/>
      <c r="BG103" s="131"/>
      <c r="BH103" s="131"/>
      <c r="BI103" s="131"/>
      <c r="BJ103" s="131"/>
      <c r="BK103" s="131"/>
      <c r="BL103" s="131"/>
      <c r="BM103" s="131"/>
      <c r="BN103" s="131"/>
      <c r="BO103" s="131"/>
      <c r="BP103" s="131"/>
      <c r="BQ103" s="131"/>
    </row>
    <row r="104" customHeight="1" spans="1:69">
      <c r="A104" s="45"/>
      <c r="B104" s="185"/>
      <c r="C104" s="186"/>
      <c r="D104" s="186"/>
      <c r="E104" s="186"/>
      <c r="F104" s="186"/>
      <c r="G104" s="186"/>
      <c r="H104" s="187"/>
      <c r="I104" s="188"/>
      <c r="J104" s="188"/>
      <c r="K104" s="188"/>
      <c r="L104" s="188"/>
      <c r="M104" s="188"/>
      <c r="N104" s="188"/>
      <c r="O104" s="188"/>
      <c r="P104" s="188"/>
      <c r="Q104" s="188"/>
      <c r="R104" s="188"/>
      <c r="S104" s="188"/>
      <c r="T104" s="188"/>
      <c r="U104" s="188"/>
      <c r="V104" s="188"/>
      <c r="W104" s="188"/>
      <c r="X104" s="188"/>
      <c r="Y104" s="188"/>
      <c r="Z104" s="188"/>
      <c r="AA104" s="188"/>
      <c r="AB104" s="45"/>
      <c r="AC104" s="131"/>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1"/>
      <c r="BA104" s="131"/>
      <c r="BB104" s="131"/>
      <c r="BC104" s="131"/>
      <c r="BD104" s="131"/>
      <c r="BE104" s="131"/>
      <c r="BF104" s="131"/>
      <c r="BG104" s="131"/>
      <c r="BH104" s="131"/>
      <c r="BI104" s="131"/>
      <c r="BJ104" s="131"/>
      <c r="BK104" s="131"/>
      <c r="BL104" s="131"/>
      <c r="BM104" s="131"/>
      <c r="BN104" s="131"/>
      <c r="BO104" s="131"/>
      <c r="BP104" s="131"/>
      <c r="BQ104" s="131"/>
    </row>
    <row r="105" customHeight="1" spans="1:69">
      <c r="A105" s="45"/>
      <c r="B105" s="177" t="s">
        <v>167</v>
      </c>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45"/>
      <c r="AC105" s="131"/>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1"/>
      <c r="BA105" s="131"/>
      <c r="BB105" s="131"/>
      <c r="BC105" s="131"/>
      <c r="BD105" s="131"/>
      <c r="BE105" s="131"/>
      <c r="BF105" s="131"/>
      <c r="BG105" s="131"/>
      <c r="BH105" s="131"/>
      <c r="BI105" s="131"/>
      <c r="BJ105" s="131"/>
      <c r="BK105" s="131"/>
      <c r="BL105" s="131"/>
      <c r="BM105" s="131"/>
      <c r="BN105" s="131"/>
      <c r="BO105" s="131"/>
      <c r="BP105" s="131"/>
      <c r="BQ105" s="131"/>
    </row>
    <row r="106" customHeight="1" spans="1:69">
      <c r="A106" s="45"/>
      <c r="B106" s="178" t="s">
        <v>109</v>
      </c>
      <c r="C106" s="179"/>
      <c r="D106" s="179"/>
      <c r="E106" s="179"/>
      <c r="F106" s="179"/>
      <c r="G106" s="180"/>
      <c r="H106" s="181" t="s">
        <v>36</v>
      </c>
      <c r="I106" s="182" t="s">
        <v>166</v>
      </c>
      <c r="J106" s="183"/>
      <c r="K106" s="183"/>
      <c r="L106" s="183"/>
      <c r="M106" s="183"/>
      <c r="N106" s="183"/>
      <c r="O106" s="183"/>
      <c r="P106" s="183"/>
      <c r="Q106" s="183"/>
      <c r="R106" s="183"/>
      <c r="S106" s="183"/>
      <c r="T106" s="183"/>
      <c r="U106" s="183"/>
      <c r="V106" s="183"/>
      <c r="W106" s="183"/>
      <c r="X106" s="183"/>
      <c r="Y106" s="183"/>
      <c r="Z106" s="183"/>
      <c r="AA106" s="184"/>
      <c r="AB106" s="45"/>
      <c r="AC106" s="131"/>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1"/>
      <c r="BA106" s="131"/>
      <c r="BB106" s="131"/>
      <c r="BC106" s="131"/>
      <c r="BD106" s="131"/>
      <c r="BE106" s="131"/>
      <c r="BF106" s="131"/>
      <c r="BG106" s="131"/>
      <c r="BH106" s="131"/>
      <c r="BI106" s="131"/>
      <c r="BJ106" s="131"/>
      <c r="BK106" s="131"/>
      <c r="BL106" s="131"/>
      <c r="BM106" s="131"/>
      <c r="BN106" s="131"/>
      <c r="BO106" s="131"/>
      <c r="BP106" s="131"/>
      <c r="BQ106" s="131"/>
    </row>
    <row r="107" customHeight="1" spans="1:69">
      <c r="A107" s="45"/>
      <c r="B107" s="185"/>
      <c r="C107" s="186"/>
      <c r="D107" s="186"/>
      <c r="E107" s="186"/>
      <c r="F107" s="186"/>
      <c r="G107" s="186"/>
      <c r="H107" s="187"/>
      <c r="I107" s="188"/>
      <c r="J107" s="188"/>
      <c r="K107" s="188"/>
      <c r="L107" s="188"/>
      <c r="M107" s="188"/>
      <c r="N107" s="188"/>
      <c r="O107" s="188"/>
      <c r="P107" s="188"/>
      <c r="Q107" s="188"/>
      <c r="R107" s="188"/>
      <c r="S107" s="188"/>
      <c r="T107" s="188"/>
      <c r="U107" s="188"/>
      <c r="V107" s="188"/>
      <c r="W107" s="188"/>
      <c r="X107" s="188"/>
      <c r="Y107" s="188"/>
      <c r="Z107" s="188"/>
      <c r="AA107" s="188"/>
      <c r="AB107" s="45"/>
      <c r="AC107" s="131"/>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1"/>
      <c r="BA107" s="131"/>
      <c r="BB107" s="131"/>
      <c r="BC107" s="131"/>
      <c r="BD107" s="131"/>
      <c r="BE107" s="131"/>
      <c r="BF107" s="131"/>
      <c r="BG107" s="131"/>
      <c r="BH107" s="131"/>
      <c r="BI107" s="131"/>
      <c r="BJ107" s="131"/>
      <c r="BK107" s="131"/>
      <c r="BL107" s="131"/>
      <c r="BM107" s="131"/>
      <c r="BN107" s="131"/>
      <c r="BO107" s="131"/>
      <c r="BP107" s="131"/>
      <c r="BQ107" s="131"/>
    </row>
    <row r="108" customHeight="1" spans="1:69">
      <c r="A108" s="45"/>
      <c r="B108" s="185"/>
      <c r="C108" s="186"/>
      <c r="D108" s="186"/>
      <c r="E108" s="186"/>
      <c r="F108" s="186"/>
      <c r="G108" s="186"/>
      <c r="H108" s="187"/>
      <c r="I108" s="188"/>
      <c r="J108" s="188"/>
      <c r="K108" s="188"/>
      <c r="L108" s="188"/>
      <c r="M108" s="188"/>
      <c r="N108" s="188"/>
      <c r="O108" s="188"/>
      <c r="P108" s="188"/>
      <c r="Q108" s="188"/>
      <c r="R108" s="188"/>
      <c r="S108" s="188"/>
      <c r="T108" s="188"/>
      <c r="U108" s="188"/>
      <c r="V108" s="188"/>
      <c r="W108" s="188"/>
      <c r="X108" s="188"/>
      <c r="Y108" s="188"/>
      <c r="Z108" s="188"/>
      <c r="AA108" s="188"/>
      <c r="AB108" s="45"/>
      <c r="AC108" s="131"/>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1"/>
      <c r="BA108" s="131"/>
      <c r="BB108" s="131"/>
      <c r="BC108" s="131"/>
      <c r="BD108" s="131"/>
      <c r="BE108" s="131"/>
      <c r="BF108" s="131"/>
      <c r="BG108" s="131"/>
      <c r="BH108" s="131"/>
      <c r="BI108" s="131"/>
      <c r="BJ108" s="131"/>
      <c r="BK108" s="131"/>
      <c r="BL108" s="131"/>
      <c r="BM108" s="131"/>
      <c r="BN108" s="131"/>
      <c r="BO108" s="131"/>
      <c r="BP108" s="131"/>
      <c r="BQ108" s="131"/>
    </row>
    <row r="109" customHeight="1" spans="1:69">
      <c r="A109" s="45"/>
      <c r="B109" s="45"/>
      <c r="C109" s="45"/>
      <c r="D109" s="45"/>
      <c r="E109" s="45"/>
      <c r="F109" s="45"/>
      <c r="G109" s="45"/>
      <c r="H109" s="189">
        <f>SUM(H102:H104)+SUM(H107:H108)</f>
        <v>0</v>
      </c>
      <c r="I109" s="45"/>
      <c r="J109" s="45"/>
      <c r="K109" s="45"/>
      <c r="L109" s="45"/>
      <c r="M109" s="45"/>
      <c r="N109" s="45"/>
      <c r="O109" s="45"/>
      <c r="P109" s="45"/>
      <c r="Q109" s="45"/>
      <c r="R109" s="95"/>
      <c r="S109" s="45"/>
      <c r="T109" s="45"/>
      <c r="U109" s="45"/>
      <c r="V109" s="45"/>
      <c r="W109" s="45"/>
      <c r="X109" s="45"/>
      <c r="Y109" s="45"/>
      <c r="Z109" s="45"/>
      <c r="AA109" s="45"/>
      <c r="AB109" s="45"/>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1"/>
      <c r="BA109" s="131"/>
      <c r="BB109" s="131"/>
      <c r="BC109" s="131"/>
      <c r="BD109" s="131"/>
      <c r="BE109" s="131"/>
      <c r="BF109" s="131"/>
      <c r="BG109" s="131"/>
      <c r="BH109" s="131"/>
      <c r="BI109" s="131"/>
      <c r="BJ109" s="131"/>
      <c r="BK109" s="131"/>
      <c r="BL109" s="131"/>
      <c r="BM109" s="131"/>
      <c r="BN109" s="131"/>
      <c r="BO109" s="131"/>
      <c r="BP109" s="131"/>
      <c r="BQ109" s="131"/>
    </row>
    <row r="110" customHeight="1" spans="1:69">
      <c r="A110" s="45"/>
      <c r="B110" s="126" t="s">
        <v>168</v>
      </c>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45"/>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1"/>
      <c r="BA110" s="131"/>
      <c r="BB110" s="131"/>
      <c r="BC110" s="131"/>
      <c r="BD110" s="131"/>
      <c r="BE110" s="131"/>
      <c r="BF110" s="131"/>
      <c r="BG110" s="131"/>
      <c r="BH110" s="131"/>
      <c r="BI110" s="131"/>
      <c r="BJ110" s="131"/>
      <c r="BK110" s="131"/>
      <c r="BL110" s="131"/>
      <c r="BM110" s="131"/>
      <c r="BN110" s="131"/>
      <c r="BO110" s="131"/>
      <c r="BP110" s="131"/>
      <c r="BQ110" s="131"/>
    </row>
    <row r="111" customHeight="1" spans="1:69">
      <c r="A111" s="45"/>
      <c r="B111" s="164" t="s">
        <v>169</v>
      </c>
      <c r="C111" s="164" t="s">
        <v>109</v>
      </c>
      <c r="D111" s="164"/>
      <c r="E111" s="164"/>
      <c r="F111" s="164"/>
      <c r="G111" s="164"/>
      <c r="H111" s="125" t="s">
        <v>36</v>
      </c>
      <c r="I111" s="125" t="s">
        <v>170</v>
      </c>
      <c r="J111" s="125"/>
      <c r="K111" s="125"/>
      <c r="L111" s="125"/>
      <c r="M111" s="125"/>
      <c r="N111" s="125"/>
      <c r="O111" s="125"/>
      <c r="P111" s="125"/>
      <c r="Q111" s="125"/>
      <c r="R111" s="125"/>
      <c r="S111" s="125"/>
      <c r="T111" s="125"/>
      <c r="U111" s="125"/>
      <c r="V111" s="125"/>
      <c r="W111" s="125"/>
      <c r="X111" s="125"/>
      <c r="Y111" s="125"/>
      <c r="Z111" s="125"/>
      <c r="AA111" s="125"/>
      <c r="AB111" s="45"/>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1"/>
      <c r="BA111" s="131"/>
      <c r="BB111" s="131"/>
      <c r="BC111" s="131"/>
      <c r="BD111" s="131"/>
      <c r="BE111" s="131"/>
      <c r="BF111" s="131"/>
      <c r="BG111" s="131"/>
      <c r="BH111" s="131"/>
      <c r="BI111" s="131"/>
      <c r="BJ111" s="131"/>
      <c r="BK111" s="131"/>
      <c r="BL111" s="131"/>
      <c r="BM111" s="131"/>
      <c r="BN111" s="131"/>
      <c r="BO111" s="131"/>
      <c r="BP111" s="131"/>
      <c r="BQ111" s="131"/>
    </row>
    <row r="112" customHeight="1" spans="1:69">
      <c r="A112" s="45"/>
      <c r="B112" s="164"/>
      <c r="C112" s="110"/>
      <c r="D112" s="110"/>
      <c r="E112" s="110"/>
      <c r="F112" s="110"/>
      <c r="G112" s="110"/>
      <c r="H112" s="106"/>
      <c r="I112" s="190"/>
      <c r="J112" s="190"/>
      <c r="K112" s="190"/>
      <c r="L112" s="190"/>
      <c r="M112" s="190"/>
      <c r="N112" s="190"/>
      <c r="O112" s="190"/>
      <c r="P112" s="190"/>
      <c r="Q112" s="190"/>
      <c r="R112" s="190"/>
      <c r="S112" s="190"/>
      <c r="T112" s="190"/>
      <c r="U112" s="190"/>
      <c r="V112" s="190"/>
      <c r="W112" s="190"/>
      <c r="X112" s="190"/>
      <c r="Y112" s="190"/>
      <c r="Z112" s="190"/>
      <c r="AA112" s="190"/>
      <c r="AB112" s="45"/>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1"/>
      <c r="BA112" s="131"/>
      <c r="BB112" s="131"/>
      <c r="BC112" s="131"/>
      <c r="BD112" s="131"/>
      <c r="BE112" s="131"/>
      <c r="BF112" s="131"/>
      <c r="BG112" s="131"/>
      <c r="BH112" s="131"/>
      <c r="BI112" s="131"/>
      <c r="BJ112" s="131"/>
      <c r="BK112" s="131"/>
      <c r="BL112" s="131"/>
      <c r="BM112" s="131"/>
      <c r="BN112" s="131"/>
      <c r="BO112" s="131"/>
      <c r="BP112" s="131"/>
      <c r="BQ112" s="131"/>
    </row>
    <row r="113" customHeight="1" spans="1:69">
      <c r="A113" s="45"/>
      <c r="B113" s="164"/>
      <c r="C113" s="110"/>
      <c r="D113" s="110"/>
      <c r="E113" s="110"/>
      <c r="F113" s="110"/>
      <c r="G113" s="110"/>
      <c r="H113" s="106"/>
      <c r="I113" s="190"/>
      <c r="J113" s="190"/>
      <c r="K113" s="190"/>
      <c r="L113" s="190"/>
      <c r="M113" s="190"/>
      <c r="N113" s="190"/>
      <c r="O113" s="190"/>
      <c r="P113" s="190"/>
      <c r="Q113" s="190"/>
      <c r="R113" s="190"/>
      <c r="S113" s="190"/>
      <c r="T113" s="190"/>
      <c r="U113" s="190"/>
      <c r="V113" s="190"/>
      <c r="W113" s="190"/>
      <c r="X113" s="190"/>
      <c r="Y113" s="190"/>
      <c r="Z113" s="190"/>
      <c r="AA113" s="190"/>
      <c r="AB113" s="45"/>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1"/>
      <c r="BA113" s="131"/>
      <c r="BB113" s="131"/>
      <c r="BC113" s="131"/>
      <c r="BD113" s="131"/>
      <c r="BE113" s="131"/>
      <c r="BF113" s="131"/>
      <c r="BG113" s="131"/>
      <c r="BH113" s="131"/>
      <c r="BI113" s="131"/>
      <c r="BJ113" s="131"/>
      <c r="BK113" s="131"/>
      <c r="BL113" s="131"/>
      <c r="BM113" s="131"/>
      <c r="BN113" s="131"/>
      <c r="BO113" s="131"/>
      <c r="BP113" s="131"/>
      <c r="BQ113" s="131"/>
    </row>
    <row r="114" customHeight="1" spans="1:69">
      <c r="A114" s="45"/>
      <c r="B114" s="164"/>
      <c r="C114" s="110"/>
      <c r="D114" s="110"/>
      <c r="E114" s="110"/>
      <c r="F114" s="110"/>
      <c r="G114" s="110"/>
      <c r="H114" s="106"/>
      <c r="I114" s="190"/>
      <c r="J114" s="190"/>
      <c r="K114" s="190"/>
      <c r="L114" s="190"/>
      <c r="M114" s="190"/>
      <c r="N114" s="190"/>
      <c r="O114" s="190"/>
      <c r="P114" s="190"/>
      <c r="Q114" s="190"/>
      <c r="R114" s="190"/>
      <c r="S114" s="190"/>
      <c r="T114" s="190"/>
      <c r="U114" s="190"/>
      <c r="V114" s="190"/>
      <c r="W114" s="190"/>
      <c r="X114" s="190"/>
      <c r="Y114" s="190"/>
      <c r="Z114" s="190"/>
      <c r="AA114" s="190"/>
      <c r="AB114" s="45"/>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1"/>
      <c r="BA114" s="131"/>
      <c r="BB114" s="131"/>
      <c r="BC114" s="131"/>
      <c r="BD114" s="131"/>
      <c r="BE114" s="131"/>
      <c r="BF114" s="131"/>
      <c r="BG114" s="131"/>
      <c r="BH114" s="131"/>
      <c r="BI114" s="131"/>
      <c r="BJ114" s="131"/>
      <c r="BK114" s="131"/>
      <c r="BL114" s="131"/>
      <c r="BM114" s="131"/>
      <c r="BN114" s="131"/>
      <c r="BO114" s="131"/>
      <c r="BP114" s="131"/>
      <c r="BQ114" s="131"/>
    </row>
    <row r="115" customHeight="1" spans="1:69">
      <c r="A115" s="45"/>
      <c r="B115" s="164"/>
      <c r="C115" s="110"/>
      <c r="D115" s="110"/>
      <c r="E115" s="110"/>
      <c r="F115" s="110"/>
      <c r="G115" s="110"/>
      <c r="H115" s="106"/>
      <c r="I115" s="190"/>
      <c r="J115" s="190"/>
      <c r="K115" s="190"/>
      <c r="L115" s="190"/>
      <c r="M115" s="190"/>
      <c r="N115" s="190"/>
      <c r="O115" s="190"/>
      <c r="P115" s="190"/>
      <c r="Q115" s="190"/>
      <c r="R115" s="190"/>
      <c r="S115" s="190"/>
      <c r="T115" s="190"/>
      <c r="U115" s="190"/>
      <c r="V115" s="190"/>
      <c r="W115" s="190"/>
      <c r="X115" s="190"/>
      <c r="Y115" s="190"/>
      <c r="Z115" s="190"/>
      <c r="AA115" s="190"/>
      <c r="AB115" s="45"/>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1"/>
      <c r="BA115" s="131"/>
      <c r="BB115" s="131"/>
      <c r="BC115" s="131"/>
      <c r="BD115" s="131"/>
      <c r="BE115" s="131"/>
      <c r="BF115" s="131"/>
      <c r="BG115" s="131"/>
      <c r="BH115" s="131"/>
      <c r="BI115" s="131"/>
      <c r="BJ115" s="131"/>
      <c r="BK115" s="131"/>
      <c r="BL115" s="131"/>
      <c r="BM115" s="131"/>
      <c r="BN115" s="131"/>
      <c r="BO115" s="131"/>
      <c r="BP115" s="131"/>
      <c r="BQ115" s="131"/>
    </row>
    <row r="116" customHeight="1" spans="1:69">
      <c r="A116" s="45"/>
      <c r="B116" s="164"/>
      <c r="C116" s="110"/>
      <c r="D116" s="110"/>
      <c r="E116" s="110"/>
      <c r="F116" s="110"/>
      <c r="G116" s="110"/>
      <c r="H116" s="106"/>
      <c r="I116" s="190"/>
      <c r="J116" s="190"/>
      <c r="K116" s="190"/>
      <c r="L116" s="190"/>
      <c r="M116" s="190"/>
      <c r="N116" s="190"/>
      <c r="O116" s="190"/>
      <c r="P116" s="190"/>
      <c r="Q116" s="190"/>
      <c r="R116" s="190"/>
      <c r="S116" s="190"/>
      <c r="T116" s="190"/>
      <c r="U116" s="190"/>
      <c r="V116" s="190"/>
      <c r="W116" s="190"/>
      <c r="X116" s="190"/>
      <c r="Y116" s="190"/>
      <c r="Z116" s="190"/>
      <c r="AA116" s="190"/>
      <c r="AB116" s="45"/>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1"/>
      <c r="BA116" s="131"/>
      <c r="BB116" s="131"/>
      <c r="BC116" s="131"/>
      <c r="BD116" s="131"/>
      <c r="BE116" s="131"/>
      <c r="BF116" s="131"/>
      <c r="BG116" s="131"/>
      <c r="BH116" s="131"/>
      <c r="BI116" s="131"/>
      <c r="BJ116" s="131"/>
      <c r="BK116" s="131"/>
      <c r="BL116" s="131"/>
      <c r="BM116" s="131"/>
      <c r="BN116" s="131"/>
      <c r="BO116" s="131"/>
      <c r="BP116" s="131"/>
      <c r="BQ116" s="131"/>
    </row>
    <row r="117" customHeight="1" spans="1:69">
      <c r="A117" s="45"/>
      <c r="B117" s="164"/>
      <c r="C117" s="110"/>
      <c r="D117" s="110"/>
      <c r="E117" s="110"/>
      <c r="F117" s="110"/>
      <c r="G117" s="110"/>
      <c r="H117" s="106"/>
      <c r="I117" s="190"/>
      <c r="J117" s="190"/>
      <c r="K117" s="190"/>
      <c r="L117" s="190"/>
      <c r="M117" s="190"/>
      <c r="N117" s="190"/>
      <c r="O117" s="190"/>
      <c r="P117" s="190"/>
      <c r="Q117" s="190"/>
      <c r="R117" s="190"/>
      <c r="S117" s="190"/>
      <c r="T117" s="190"/>
      <c r="U117" s="190"/>
      <c r="V117" s="190"/>
      <c r="W117" s="190"/>
      <c r="X117" s="190"/>
      <c r="Y117" s="190"/>
      <c r="Z117" s="190"/>
      <c r="AA117" s="190"/>
      <c r="AB117" s="45"/>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1"/>
      <c r="BA117" s="131"/>
      <c r="BB117" s="131"/>
      <c r="BC117" s="131"/>
      <c r="BD117" s="131"/>
      <c r="BE117" s="131"/>
      <c r="BF117" s="131"/>
      <c r="BG117" s="131"/>
      <c r="BH117" s="131"/>
      <c r="BI117" s="131"/>
      <c r="BJ117" s="131"/>
      <c r="BK117" s="131"/>
      <c r="BL117" s="131"/>
      <c r="BM117" s="131"/>
      <c r="BN117" s="131"/>
      <c r="BO117" s="131"/>
      <c r="BP117" s="131"/>
      <c r="BQ117" s="131"/>
    </row>
    <row r="118" customHeight="1" spans="1:69">
      <c r="A118" s="45"/>
      <c r="B118" s="104" t="s">
        <v>171</v>
      </c>
      <c r="C118" s="110"/>
      <c r="D118" s="110"/>
      <c r="E118" s="110"/>
      <c r="F118" s="110"/>
      <c r="G118" s="110"/>
      <c r="H118" s="106"/>
      <c r="I118" s="190"/>
      <c r="J118" s="190"/>
      <c r="K118" s="190"/>
      <c r="L118" s="190"/>
      <c r="M118" s="190"/>
      <c r="N118" s="190"/>
      <c r="O118" s="190"/>
      <c r="P118" s="190"/>
      <c r="Q118" s="190"/>
      <c r="R118" s="190"/>
      <c r="S118" s="190"/>
      <c r="T118" s="190"/>
      <c r="U118" s="190"/>
      <c r="V118" s="190"/>
      <c r="W118" s="190"/>
      <c r="X118" s="190"/>
      <c r="Y118" s="190"/>
      <c r="Z118" s="190"/>
      <c r="AA118" s="190"/>
      <c r="AB118" s="45"/>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1"/>
      <c r="BA118" s="131"/>
      <c r="BB118" s="131"/>
      <c r="BC118" s="131"/>
      <c r="BD118" s="131"/>
      <c r="BE118" s="131"/>
      <c r="BF118" s="131"/>
      <c r="BG118" s="131"/>
      <c r="BH118" s="131"/>
      <c r="BI118" s="131"/>
      <c r="BJ118" s="131"/>
      <c r="BK118" s="131"/>
      <c r="BL118" s="131"/>
      <c r="BM118" s="131"/>
      <c r="BN118" s="131"/>
      <c r="BO118" s="131"/>
      <c r="BP118" s="131"/>
      <c r="BQ118" s="131"/>
    </row>
    <row r="119" customHeight="1" spans="1:69">
      <c r="A119" s="45"/>
      <c r="B119" s="104"/>
      <c r="C119" s="110"/>
      <c r="D119" s="110"/>
      <c r="E119" s="110"/>
      <c r="F119" s="110"/>
      <c r="G119" s="110"/>
      <c r="H119" s="106"/>
      <c r="I119" s="190"/>
      <c r="J119" s="190"/>
      <c r="K119" s="190"/>
      <c r="L119" s="190"/>
      <c r="M119" s="190"/>
      <c r="N119" s="190"/>
      <c r="O119" s="190"/>
      <c r="P119" s="190"/>
      <c r="Q119" s="190"/>
      <c r="R119" s="190"/>
      <c r="S119" s="190"/>
      <c r="T119" s="190"/>
      <c r="U119" s="190"/>
      <c r="V119" s="190"/>
      <c r="W119" s="190"/>
      <c r="X119" s="190"/>
      <c r="Y119" s="190"/>
      <c r="Z119" s="190"/>
      <c r="AA119" s="190"/>
      <c r="AB119" s="45"/>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row>
    <row r="120" customHeight="1" spans="1:69">
      <c r="A120" s="45"/>
      <c r="B120" s="104"/>
      <c r="C120" s="110"/>
      <c r="D120" s="110"/>
      <c r="E120" s="110"/>
      <c r="F120" s="110"/>
      <c r="G120" s="110"/>
      <c r="H120" s="106"/>
      <c r="I120" s="190"/>
      <c r="J120" s="190"/>
      <c r="K120" s="190"/>
      <c r="L120" s="190"/>
      <c r="M120" s="190"/>
      <c r="N120" s="190"/>
      <c r="O120" s="190"/>
      <c r="P120" s="190"/>
      <c r="Q120" s="190"/>
      <c r="R120" s="190"/>
      <c r="S120" s="190"/>
      <c r="T120" s="190"/>
      <c r="U120" s="190"/>
      <c r="V120" s="190"/>
      <c r="W120" s="190"/>
      <c r="X120" s="190"/>
      <c r="Y120" s="190"/>
      <c r="Z120" s="190"/>
      <c r="AA120" s="190"/>
      <c r="AB120" s="45"/>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row>
    <row r="121" customHeight="1" spans="1:69">
      <c r="A121" s="45"/>
      <c r="B121" s="104"/>
      <c r="C121" s="110"/>
      <c r="D121" s="110"/>
      <c r="E121" s="110"/>
      <c r="F121" s="110"/>
      <c r="G121" s="110"/>
      <c r="H121" s="106"/>
      <c r="I121" s="190"/>
      <c r="J121" s="190"/>
      <c r="K121" s="190"/>
      <c r="L121" s="190"/>
      <c r="M121" s="190"/>
      <c r="N121" s="190"/>
      <c r="O121" s="190"/>
      <c r="P121" s="190"/>
      <c r="Q121" s="190"/>
      <c r="R121" s="190"/>
      <c r="S121" s="190"/>
      <c r="T121" s="190"/>
      <c r="U121" s="190"/>
      <c r="V121" s="190"/>
      <c r="W121" s="190"/>
      <c r="X121" s="190"/>
      <c r="Y121" s="190"/>
      <c r="Z121" s="190"/>
      <c r="AA121" s="190"/>
      <c r="AB121" s="45"/>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row>
    <row r="122" customHeight="1" spans="1:69">
      <c r="A122" s="45"/>
      <c r="B122" s="104" t="s">
        <v>172</v>
      </c>
      <c r="C122" s="110"/>
      <c r="D122" s="110"/>
      <c r="E122" s="110"/>
      <c r="F122" s="110"/>
      <c r="G122" s="110"/>
      <c r="H122" s="106"/>
      <c r="I122" s="190"/>
      <c r="J122" s="190"/>
      <c r="K122" s="190"/>
      <c r="L122" s="190"/>
      <c r="M122" s="190"/>
      <c r="N122" s="190"/>
      <c r="O122" s="190"/>
      <c r="P122" s="190"/>
      <c r="Q122" s="190"/>
      <c r="R122" s="190"/>
      <c r="S122" s="190"/>
      <c r="T122" s="190"/>
      <c r="U122" s="190"/>
      <c r="V122" s="190"/>
      <c r="W122" s="190"/>
      <c r="X122" s="190"/>
      <c r="Y122" s="190"/>
      <c r="Z122" s="190"/>
      <c r="AA122" s="190"/>
      <c r="AB122" s="45"/>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row>
    <row r="123" customHeight="1" spans="1:69">
      <c r="A123" s="45"/>
      <c r="B123" s="104"/>
      <c r="C123" s="110"/>
      <c r="D123" s="110"/>
      <c r="E123" s="110"/>
      <c r="F123" s="110"/>
      <c r="G123" s="110"/>
      <c r="H123" s="106"/>
      <c r="I123" s="190"/>
      <c r="J123" s="190"/>
      <c r="K123" s="190"/>
      <c r="L123" s="190"/>
      <c r="M123" s="190"/>
      <c r="N123" s="190"/>
      <c r="O123" s="190"/>
      <c r="P123" s="190"/>
      <c r="Q123" s="190"/>
      <c r="R123" s="190"/>
      <c r="S123" s="190"/>
      <c r="T123" s="190"/>
      <c r="U123" s="190"/>
      <c r="V123" s="190"/>
      <c r="W123" s="190"/>
      <c r="X123" s="190"/>
      <c r="Y123" s="190"/>
      <c r="Z123" s="190"/>
      <c r="AA123" s="190"/>
      <c r="AB123" s="45"/>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row>
    <row r="124" customHeight="1" spans="1:69">
      <c r="A124" s="45"/>
      <c r="B124" s="104"/>
      <c r="C124" s="110"/>
      <c r="D124" s="110"/>
      <c r="E124" s="110"/>
      <c r="F124" s="110"/>
      <c r="G124" s="110"/>
      <c r="H124" s="106"/>
      <c r="I124" s="190"/>
      <c r="J124" s="190"/>
      <c r="K124" s="190"/>
      <c r="L124" s="190"/>
      <c r="M124" s="190"/>
      <c r="N124" s="190"/>
      <c r="O124" s="190"/>
      <c r="P124" s="190"/>
      <c r="Q124" s="190"/>
      <c r="R124" s="190"/>
      <c r="S124" s="190"/>
      <c r="T124" s="190"/>
      <c r="U124" s="190"/>
      <c r="V124" s="190"/>
      <c r="W124" s="190"/>
      <c r="X124" s="190"/>
      <c r="Y124" s="190"/>
      <c r="Z124" s="190"/>
      <c r="AA124" s="190"/>
      <c r="AB124" s="45"/>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row>
    <row r="125" customHeight="1" spans="1:69">
      <c r="A125" s="45"/>
      <c r="B125" s="104"/>
      <c r="C125" s="110"/>
      <c r="D125" s="110"/>
      <c r="E125" s="110"/>
      <c r="F125" s="110"/>
      <c r="G125" s="110"/>
      <c r="H125" s="106"/>
      <c r="I125" s="190"/>
      <c r="J125" s="190"/>
      <c r="K125" s="190"/>
      <c r="L125" s="190"/>
      <c r="M125" s="190"/>
      <c r="N125" s="190"/>
      <c r="O125" s="190"/>
      <c r="P125" s="190"/>
      <c r="Q125" s="190"/>
      <c r="R125" s="190"/>
      <c r="S125" s="190"/>
      <c r="T125" s="190"/>
      <c r="U125" s="190"/>
      <c r="V125" s="190"/>
      <c r="W125" s="190"/>
      <c r="X125" s="190"/>
      <c r="Y125" s="190"/>
      <c r="Z125" s="190"/>
      <c r="AA125" s="190"/>
      <c r="AB125" s="45"/>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row>
    <row r="126" customHeight="1" spans="1:69">
      <c r="A126" s="45"/>
      <c r="B126" s="104" t="s">
        <v>173</v>
      </c>
      <c r="C126" s="110"/>
      <c r="D126" s="110"/>
      <c r="E126" s="110"/>
      <c r="F126" s="110"/>
      <c r="G126" s="110"/>
      <c r="H126" s="106"/>
      <c r="I126" s="190"/>
      <c r="J126" s="190"/>
      <c r="K126" s="190"/>
      <c r="L126" s="190"/>
      <c r="M126" s="190"/>
      <c r="N126" s="190"/>
      <c r="O126" s="190"/>
      <c r="P126" s="190"/>
      <c r="Q126" s="190"/>
      <c r="R126" s="190"/>
      <c r="S126" s="190"/>
      <c r="T126" s="190"/>
      <c r="U126" s="190"/>
      <c r="V126" s="190"/>
      <c r="W126" s="190"/>
      <c r="X126" s="190"/>
      <c r="Y126" s="190"/>
      <c r="Z126" s="190"/>
      <c r="AA126" s="190"/>
      <c r="AB126" s="45"/>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row>
    <row r="127" customHeight="1" spans="1:69">
      <c r="A127" s="45"/>
      <c r="B127" s="104"/>
      <c r="C127" s="110"/>
      <c r="D127" s="110"/>
      <c r="E127" s="110"/>
      <c r="F127" s="110"/>
      <c r="G127" s="110"/>
      <c r="H127" s="106"/>
      <c r="I127" s="190"/>
      <c r="J127" s="190"/>
      <c r="K127" s="190"/>
      <c r="L127" s="190"/>
      <c r="M127" s="190"/>
      <c r="N127" s="190"/>
      <c r="O127" s="190"/>
      <c r="P127" s="190"/>
      <c r="Q127" s="190"/>
      <c r="R127" s="190"/>
      <c r="S127" s="190"/>
      <c r="T127" s="190"/>
      <c r="U127" s="190"/>
      <c r="V127" s="190"/>
      <c r="W127" s="190"/>
      <c r="X127" s="190"/>
      <c r="Y127" s="190"/>
      <c r="Z127" s="190"/>
      <c r="AA127" s="190"/>
      <c r="AB127" s="45"/>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row>
    <row r="128" customHeight="1" spans="1:69">
      <c r="A128" s="45"/>
      <c r="B128" s="104"/>
      <c r="C128" s="110"/>
      <c r="D128" s="110"/>
      <c r="E128" s="110"/>
      <c r="F128" s="110"/>
      <c r="G128" s="110"/>
      <c r="H128" s="106"/>
      <c r="I128" s="190"/>
      <c r="J128" s="190"/>
      <c r="K128" s="190"/>
      <c r="L128" s="190"/>
      <c r="M128" s="190"/>
      <c r="N128" s="190"/>
      <c r="O128" s="190"/>
      <c r="P128" s="190"/>
      <c r="Q128" s="190"/>
      <c r="R128" s="190"/>
      <c r="S128" s="190"/>
      <c r="T128" s="190"/>
      <c r="U128" s="190"/>
      <c r="V128" s="190"/>
      <c r="W128" s="190"/>
      <c r="X128" s="190"/>
      <c r="Y128" s="190"/>
      <c r="Z128" s="190"/>
      <c r="AA128" s="190"/>
      <c r="AB128" s="45"/>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row>
    <row r="129" customHeight="1" spans="1:51">
      <c r="A129" s="45"/>
      <c r="B129" s="104"/>
      <c r="C129" s="110"/>
      <c r="D129" s="110"/>
      <c r="E129" s="110"/>
      <c r="F129" s="110"/>
      <c r="G129" s="110"/>
      <c r="H129" s="106"/>
      <c r="I129" s="190"/>
      <c r="J129" s="190"/>
      <c r="K129" s="190"/>
      <c r="L129" s="190"/>
      <c r="M129" s="190"/>
      <c r="N129" s="190"/>
      <c r="O129" s="190"/>
      <c r="P129" s="190"/>
      <c r="Q129" s="190"/>
      <c r="R129" s="190"/>
      <c r="S129" s="190"/>
      <c r="T129" s="190"/>
      <c r="U129" s="190"/>
      <c r="V129" s="190"/>
      <c r="W129" s="190"/>
      <c r="X129" s="190"/>
      <c r="Y129" s="190"/>
      <c r="Z129" s="190"/>
      <c r="AA129" s="190"/>
      <c r="AB129" s="45"/>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row>
    <row r="130" customHeight="1" spans="1:51">
      <c r="A130" s="45"/>
      <c r="B130" s="104" t="s">
        <v>174</v>
      </c>
      <c r="C130" s="110"/>
      <c r="D130" s="110"/>
      <c r="E130" s="110"/>
      <c r="F130" s="110"/>
      <c r="G130" s="110"/>
      <c r="H130" s="106"/>
      <c r="I130" s="190"/>
      <c r="J130" s="190"/>
      <c r="K130" s="190"/>
      <c r="L130" s="190"/>
      <c r="M130" s="190"/>
      <c r="N130" s="190"/>
      <c r="O130" s="190"/>
      <c r="P130" s="190"/>
      <c r="Q130" s="190"/>
      <c r="R130" s="190"/>
      <c r="S130" s="190"/>
      <c r="T130" s="190"/>
      <c r="U130" s="190"/>
      <c r="V130" s="190"/>
      <c r="W130" s="190"/>
      <c r="X130" s="190"/>
      <c r="Y130" s="190"/>
      <c r="Z130" s="190"/>
      <c r="AA130" s="190"/>
      <c r="AB130" s="45"/>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row>
    <row r="131" customHeight="1" spans="1:51">
      <c r="A131" s="45"/>
      <c r="B131" s="104"/>
      <c r="C131" s="110"/>
      <c r="D131" s="110"/>
      <c r="E131" s="110"/>
      <c r="F131" s="110"/>
      <c r="G131" s="110"/>
      <c r="H131" s="106"/>
      <c r="I131" s="190"/>
      <c r="J131" s="190"/>
      <c r="K131" s="190"/>
      <c r="L131" s="190"/>
      <c r="M131" s="190"/>
      <c r="N131" s="190"/>
      <c r="O131" s="190"/>
      <c r="P131" s="190"/>
      <c r="Q131" s="190"/>
      <c r="R131" s="190"/>
      <c r="S131" s="190"/>
      <c r="T131" s="190"/>
      <c r="U131" s="190"/>
      <c r="V131" s="190"/>
      <c r="W131" s="190"/>
      <c r="X131" s="190"/>
      <c r="Y131" s="190"/>
      <c r="Z131" s="190"/>
      <c r="AA131" s="190"/>
      <c r="AB131" s="45"/>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row>
    <row r="132" customHeight="1" spans="1:51">
      <c r="A132" s="45"/>
      <c r="B132" s="104"/>
      <c r="C132" s="110"/>
      <c r="D132" s="110"/>
      <c r="E132" s="110"/>
      <c r="F132" s="110"/>
      <c r="G132" s="110"/>
      <c r="H132" s="88"/>
      <c r="I132" s="190"/>
      <c r="J132" s="190"/>
      <c r="K132" s="190"/>
      <c r="L132" s="190"/>
      <c r="M132" s="190"/>
      <c r="N132" s="190"/>
      <c r="O132" s="190"/>
      <c r="P132" s="190"/>
      <c r="Q132" s="190"/>
      <c r="R132" s="190"/>
      <c r="S132" s="190"/>
      <c r="T132" s="190"/>
      <c r="U132" s="190"/>
      <c r="V132" s="190"/>
      <c r="W132" s="190"/>
      <c r="X132" s="190"/>
      <c r="Y132" s="190"/>
      <c r="Z132" s="190"/>
      <c r="AA132" s="190"/>
      <c r="AB132" s="45"/>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row>
    <row r="133" customHeight="1" spans="1:51">
      <c r="A133" s="45"/>
      <c r="B133" s="104"/>
      <c r="C133" s="110"/>
      <c r="D133" s="110"/>
      <c r="E133" s="110"/>
      <c r="F133" s="110"/>
      <c r="G133" s="110"/>
      <c r="H133" s="88"/>
      <c r="I133" s="190"/>
      <c r="J133" s="190"/>
      <c r="K133" s="190"/>
      <c r="L133" s="190"/>
      <c r="M133" s="190"/>
      <c r="N133" s="190"/>
      <c r="O133" s="190"/>
      <c r="P133" s="190"/>
      <c r="Q133" s="190"/>
      <c r="R133" s="190"/>
      <c r="S133" s="190"/>
      <c r="T133" s="190"/>
      <c r="U133" s="190"/>
      <c r="V133" s="190"/>
      <c r="W133" s="190"/>
      <c r="X133" s="190"/>
      <c r="Y133" s="190"/>
      <c r="Z133" s="190"/>
      <c r="AA133" s="190"/>
      <c r="AB133" s="45"/>
    </row>
    <row r="134" customHeight="1" spans="1:51">
      <c r="A134" s="45"/>
      <c r="B134" s="104" t="s">
        <v>175</v>
      </c>
      <c r="C134" s="110"/>
      <c r="D134" s="110"/>
      <c r="E134" s="110"/>
      <c r="F134" s="110"/>
      <c r="G134" s="110"/>
      <c r="H134" s="88"/>
      <c r="I134" s="190"/>
      <c r="J134" s="190"/>
      <c r="K134" s="190"/>
      <c r="L134" s="190"/>
      <c r="M134" s="190"/>
      <c r="N134" s="190"/>
      <c r="O134" s="190"/>
      <c r="P134" s="190"/>
      <c r="Q134" s="190"/>
      <c r="R134" s="190"/>
      <c r="S134" s="190"/>
      <c r="T134" s="190"/>
      <c r="U134" s="190"/>
      <c r="V134" s="190"/>
      <c r="W134" s="190"/>
      <c r="X134" s="190"/>
      <c r="Y134" s="190"/>
      <c r="Z134" s="190"/>
      <c r="AA134" s="190"/>
      <c r="AB134" s="45"/>
    </row>
    <row r="135" customHeight="1" spans="1:51">
      <c r="A135" s="45"/>
      <c r="B135" s="104"/>
      <c r="C135" s="110"/>
      <c r="D135" s="110"/>
      <c r="E135" s="110"/>
      <c r="F135" s="110"/>
      <c r="G135" s="110"/>
      <c r="H135" s="88"/>
      <c r="I135" s="190"/>
      <c r="J135" s="190"/>
      <c r="K135" s="190"/>
      <c r="L135" s="190"/>
      <c r="M135" s="190"/>
      <c r="N135" s="190"/>
      <c r="O135" s="190"/>
      <c r="P135" s="190"/>
      <c r="Q135" s="190"/>
      <c r="R135" s="190"/>
      <c r="S135" s="190"/>
      <c r="T135" s="190"/>
      <c r="U135" s="190"/>
      <c r="V135" s="190"/>
      <c r="W135" s="190"/>
      <c r="X135" s="190"/>
      <c r="Y135" s="190"/>
      <c r="Z135" s="190"/>
      <c r="AA135" s="190"/>
      <c r="AB135" s="45"/>
    </row>
    <row r="136" customHeight="1" spans="1:51">
      <c r="A136" s="45"/>
      <c r="B136" s="104"/>
      <c r="C136" s="110"/>
      <c r="D136" s="110"/>
      <c r="E136" s="110"/>
      <c r="F136" s="110"/>
      <c r="G136" s="110"/>
      <c r="H136" s="88"/>
      <c r="I136" s="190"/>
      <c r="J136" s="190"/>
      <c r="K136" s="190"/>
      <c r="L136" s="190"/>
      <c r="M136" s="190"/>
      <c r="N136" s="190"/>
      <c r="O136" s="190"/>
      <c r="P136" s="190"/>
      <c r="Q136" s="190"/>
      <c r="R136" s="190"/>
      <c r="S136" s="190"/>
      <c r="T136" s="190"/>
      <c r="U136" s="190"/>
      <c r="V136" s="190"/>
      <c r="W136" s="190"/>
      <c r="X136" s="190"/>
      <c r="Y136" s="190"/>
      <c r="Z136" s="190"/>
      <c r="AA136" s="190"/>
      <c r="AB136" s="45"/>
    </row>
    <row r="137" customHeight="1" spans="1:51">
      <c r="A137" s="45"/>
      <c r="B137" s="104"/>
      <c r="C137" s="110"/>
      <c r="D137" s="110"/>
      <c r="E137" s="110"/>
      <c r="F137" s="110"/>
      <c r="G137" s="110"/>
      <c r="H137" s="88"/>
      <c r="I137" s="190"/>
      <c r="J137" s="190"/>
      <c r="K137" s="190"/>
      <c r="L137" s="190"/>
      <c r="M137" s="190"/>
      <c r="N137" s="190"/>
      <c r="O137" s="190"/>
      <c r="P137" s="190"/>
      <c r="Q137" s="190"/>
      <c r="R137" s="190"/>
      <c r="S137" s="190"/>
      <c r="T137" s="190"/>
      <c r="U137" s="190"/>
      <c r="V137" s="190"/>
      <c r="W137" s="190"/>
      <c r="X137" s="190"/>
      <c r="Y137" s="190"/>
      <c r="Z137" s="190"/>
      <c r="AA137" s="190"/>
      <c r="AB137" s="45"/>
    </row>
    <row r="138" customHeight="1" spans="1:51">
      <c r="A138" s="45"/>
      <c r="B138" s="45"/>
      <c r="C138" s="45"/>
      <c r="D138" s="45"/>
      <c r="E138" s="45"/>
      <c r="F138" s="45"/>
      <c r="G138" s="45"/>
      <c r="H138" s="95">
        <f>SUM(H112:H137)</f>
        <v>0</v>
      </c>
      <c r="I138" s="45"/>
      <c r="J138" s="45"/>
      <c r="K138" s="45"/>
      <c r="L138" s="45"/>
      <c r="M138" s="45"/>
      <c r="N138" s="45"/>
      <c r="O138" s="45"/>
      <c r="P138" s="45"/>
      <c r="Q138" s="45"/>
      <c r="R138" s="45"/>
      <c r="S138" s="45"/>
      <c r="T138" s="45"/>
      <c r="U138" s="45"/>
      <c r="V138" s="45"/>
      <c r="W138" s="45"/>
      <c r="X138" s="45"/>
      <c r="Y138" s="45"/>
      <c r="Z138" s="45"/>
      <c r="AA138" s="95"/>
      <c r="AB138" s="45"/>
    </row>
    <row r="139" customHeight="1" spans="1:51">
      <c r="A139" s="45"/>
      <c r="B139" s="126" t="s">
        <v>176</v>
      </c>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45"/>
    </row>
    <row r="140" customHeight="1" spans="1:51">
      <c r="A140" s="45"/>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c r="AA140" s="191"/>
      <c r="AB140" s="45"/>
    </row>
    <row r="141" customHeight="1" spans="1:51">
      <c r="A141" s="45"/>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c r="AA141" s="191"/>
      <c r="AB141" s="45"/>
    </row>
    <row r="142" customHeight="1" spans="1:51">
      <c r="A142" s="45"/>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c r="AA142" s="191"/>
      <c r="AB142" s="45"/>
    </row>
    <row r="143" customHeight="1" spans="1:51">
      <c r="A143" s="45"/>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c r="AA143" s="191"/>
      <c r="AB143" s="45"/>
    </row>
    <row r="144" customHeight="1" spans="1:51">
      <c r="A144" s="45"/>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c r="AA144" s="191"/>
      <c r="AB144" s="45"/>
    </row>
    <row r="145" customHeight="1" spans="1:28">
      <c r="A145" s="45"/>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c r="AA145" s="191"/>
      <c r="AB145" s="45"/>
    </row>
    <row r="146" customHeight="1" spans="1:28">
      <c r="A146" s="45"/>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c r="AA146" s="191"/>
      <c r="AB146" s="45"/>
    </row>
    <row r="147" customHeight="1" spans="1:28">
      <c r="A147" s="45"/>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c r="AA147" s="191"/>
      <c r="AB147" s="45"/>
    </row>
    <row r="148" customHeight="1" spans="1:28">
      <c r="A148" s="45"/>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c r="AA148" s="191"/>
      <c r="AB148" s="45"/>
    </row>
    <row r="149" customHeight="1" spans="1:28">
      <c r="A149" s="45"/>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c r="AA149" s="191"/>
      <c r="AB149" s="45"/>
    </row>
    <row r="150" customHeight="1" spans="1:28">
      <c r="A150" s="45"/>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c r="AA150" s="191"/>
      <c r="AB150" s="45"/>
    </row>
    <row r="151" customHeight="1" spans="1:28">
      <c r="A151" s="45"/>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c r="AB151" s="45"/>
    </row>
    <row r="152" customHeight="1" spans="1:28">
      <c r="A152" s="45"/>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c r="AA152" s="191"/>
      <c r="AB152" s="45"/>
    </row>
    <row r="153" customHeight="1" spans="1:28">
      <c r="A153" s="45"/>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c r="AB153" s="45"/>
    </row>
    <row r="154" customHeight="1" spans="1:28">
      <c r="A154" s="45"/>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c r="AA154" s="191"/>
      <c r="AB154" s="45"/>
    </row>
    <row r="155" customHeight="1" spans="1:28">
      <c r="A155" s="45"/>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c r="AA155" s="191"/>
      <c r="AB155" s="45"/>
    </row>
    <row r="156" customHeight="1" spans="1:28">
      <c r="A156" s="45"/>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c r="AA156" s="191"/>
      <c r="AB156" s="45"/>
    </row>
    <row r="157" customHeight="1" spans="1:28">
      <c r="A157" s="45"/>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c r="AA157" s="191"/>
      <c r="AB157" s="45"/>
    </row>
    <row r="158" customHeight="1" spans="1:28">
      <c r="A158" s="45"/>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c r="AA158" s="191"/>
      <c r="AB158" s="45"/>
    </row>
    <row r="159" customHeight="1" spans="1:28">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sheetData>
  <mergeCells count="408">
    <mergeCell ref="A1:AB1"/>
    <mergeCell ref="B2:C2"/>
    <mergeCell ref="D2:G2"/>
    <mergeCell ref="H2:I2"/>
    <mergeCell ref="J2:R2"/>
    <mergeCell ref="U2:W2"/>
    <mergeCell ref="Z2:AA2"/>
    <mergeCell ref="B3:C3"/>
    <mergeCell ref="D3:G3"/>
    <mergeCell ref="H3:I3"/>
    <mergeCell ref="J3:N3"/>
    <mergeCell ref="U3:V3"/>
    <mergeCell ref="W3:X3"/>
    <mergeCell ref="Z3:AA3"/>
    <mergeCell ref="B4:C4"/>
    <mergeCell ref="D4:G4"/>
    <mergeCell ref="H4:I4"/>
    <mergeCell ref="J4:K4"/>
    <mergeCell ref="N4:O4"/>
    <mergeCell ref="Q4:R4"/>
    <mergeCell ref="U4:V4"/>
    <mergeCell ref="W4:X4"/>
    <mergeCell ref="Z4:AA4"/>
    <mergeCell ref="B6:F6"/>
    <mergeCell ref="I6:J6"/>
    <mergeCell ref="K6:L6"/>
    <mergeCell ref="B7:F7"/>
    <mergeCell ref="I7:J7"/>
    <mergeCell ref="K7:L7"/>
    <mergeCell ref="E9:G9"/>
    <mergeCell ref="I9:K9"/>
    <mergeCell ref="E10:G10"/>
    <mergeCell ref="I10:K10"/>
    <mergeCell ref="B12:C12"/>
    <mergeCell ref="O12:P12"/>
    <mergeCell ref="B13:C13"/>
    <mergeCell ref="B14:C14"/>
    <mergeCell ref="B15:C15"/>
    <mergeCell ref="B16:C16"/>
    <mergeCell ref="B17:C17"/>
    <mergeCell ref="B18:C18"/>
    <mergeCell ref="B19:C19"/>
    <mergeCell ref="B20:C20"/>
    <mergeCell ref="B21:C21"/>
    <mergeCell ref="W22:AA22"/>
    <mergeCell ref="B23:R23"/>
    <mergeCell ref="T23:AA23"/>
    <mergeCell ref="B24:C24"/>
    <mergeCell ref="N24:O24"/>
    <mergeCell ref="T24:U24"/>
    <mergeCell ref="Y24:Z24"/>
    <mergeCell ref="B25:C25"/>
    <mergeCell ref="P25:Q25"/>
    <mergeCell ref="T25:U25"/>
    <mergeCell ref="Y25:Z25"/>
    <mergeCell ref="B26:C26"/>
    <mergeCell ref="P26:Q26"/>
    <mergeCell ref="T26:U26"/>
    <mergeCell ref="Y26:Z26"/>
    <mergeCell ref="B27:C27"/>
    <mergeCell ref="P27:Q27"/>
    <mergeCell ref="T27:U27"/>
    <mergeCell ref="Y27:Z27"/>
    <mergeCell ref="B29:C29"/>
    <mergeCell ref="D29:E29"/>
    <mergeCell ref="F29:G29"/>
    <mergeCell ref="H29:I29"/>
    <mergeCell ref="J29:K29"/>
    <mergeCell ref="L29:M29"/>
    <mergeCell ref="N29:O29"/>
    <mergeCell ref="P29:Q29"/>
    <mergeCell ref="T29:U29"/>
    <mergeCell ref="V29:W29"/>
    <mergeCell ref="X29:Y29"/>
    <mergeCell ref="Z29:AA29"/>
    <mergeCell ref="B30:C30"/>
    <mergeCell ref="D30:E30"/>
    <mergeCell ref="F30:G30"/>
    <mergeCell ref="H30:I30"/>
    <mergeCell ref="J30:K30"/>
    <mergeCell ref="L30:M30"/>
    <mergeCell ref="N30:O30"/>
    <mergeCell ref="P30:Q30"/>
    <mergeCell ref="V30:W30"/>
    <mergeCell ref="X30:Y30"/>
    <mergeCell ref="Z30:AA30"/>
    <mergeCell ref="B31:C31"/>
    <mergeCell ref="D31:E31"/>
    <mergeCell ref="F31:G31"/>
    <mergeCell ref="H31:I31"/>
    <mergeCell ref="J31:K31"/>
    <mergeCell ref="L31:M31"/>
    <mergeCell ref="N31:O31"/>
    <mergeCell ref="P31:Q31"/>
    <mergeCell ref="V31:W31"/>
    <mergeCell ref="X31:Y31"/>
    <mergeCell ref="Z31:AA31"/>
    <mergeCell ref="D33:E33"/>
    <mergeCell ref="F33:G33"/>
    <mergeCell ref="H33:I33"/>
    <mergeCell ref="J33:K33"/>
    <mergeCell ref="L33:M33"/>
    <mergeCell ref="N33:R33"/>
    <mergeCell ref="T33:AA33"/>
    <mergeCell ref="D34:E34"/>
    <mergeCell ref="F34:G34"/>
    <mergeCell ref="H34:I34"/>
    <mergeCell ref="J34:K34"/>
    <mergeCell ref="L34:M34"/>
    <mergeCell ref="N34:R34"/>
    <mergeCell ref="X34:AA34"/>
    <mergeCell ref="X35:Y35"/>
    <mergeCell ref="Z35:AA35"/>
    <mergeCell ref="B36:R36"/>
    <mergeCell ref="X36:Y36"/>
    <mergeCell ref="Z36:AA36"/>
    <mergeCell ref="B37:C37"/>
    <mergeCell ref="J37:Q37"/>
    <mergeCell ref="X37:Y37"/>
    <mergeCell ref="Z37:AA37"/>
    <mergeCell ref="B38:C38"/>
    <mergeCell ref="J38:Q38"/>
    <mergeCell ref="X38:Y38"/>
    <mergeCell ref="Z38:AA38"/>
    <mergeCell ref="B39:C39"/>
    <mergeCell ref="J39:Q39"/>
    <mergeCell ref="X39:Y39"/>
    <mergeCell ref="Z39:AA39"/>
    <mergeCell ref="B40:C40"/>
    <mergeCell ref="J40:Q40"/>
    <mergeCell ref="X40:Y40"/>
    <mergeCell ref="Z40:AA40"/>
    <mergeCell ref="B41:C41"/>
    <mergeCell ref="J41:Q41"/>
    <mergeCell ref="X41:Y41"/>
    <mergeCell ref="Z41:AA41"/>
    <mergeCell ref="B42:C42"/>
    <mergeCell ref="J42:Q42"/>
    <mergeCell ref="X42:Y42"/>
    <mergeCell ref="Z42:AA42"/>
    <mergeCell ref="B43:C43"/>
    <mergeCell ref="J43:Q43"/>
    <mergeCell ref="X43:Y43"/>
    <mergeCell ref="Z43:AA43"/>
    <mergeCell ref="B44:C44"/>
    <mergeCell ref="J44:Q44"/>
    <mergeCell ref="X44:Y44"/>
    <mergeCell ref="Z44:AA44"/>
    <mergeCell ref="B45:C45"/>
    <mergeCell ref="J45:Q45"/>
    <mergeCell ref="X45:Y45"/>
    <mergeCell ref="Z45:AA45"/>
    <mergeCell ref="B46:C46"/>
    <mergeCell ref="J46:Q46"/>
    <mergeCell ref="X46:Y46"/>
    <mergeCell ref="Z46:AA46"/>
    <mergeCell ref="B47:C47"/>
    <mergeCell ref="J47:Q47"/>
    <mergeCell ref="X47:Y47"/>
    <mergeCell ref="Z47:AA47"/>
    <mergeCell ref="B48:C48"/>
    <mergeCell ref="J48:Q48"/>
    <mergeCell ref="X48:Y48"/>
    <mergeCell ref="Z48:AA48"/>
    <mergeCell ref="B49:C49"/>
    <mergeCell ref="J49:Q49"/>
    <mergeCell ref="X49:Y49"/>
    <mergeCell ref="Z49:AA49"/>
    <mergeCell ref="B50:C50"/>
    <mergeCell ref="J50:Q50"/>
    <mergeCell ref="X50:Y50"/>
    <mergeCell ref="Z50:AA50"/>
    <mergeCell ref="B51:C51"/>
    <mergeCell ref="J51:Q51"/>
    <mergeCell ref="T51:AA51"/>
    <mergeCell ref="B52:C52"/>
    <mergeCell ref="J52:Q52"/>
    <mergeCell ref="T52:U52"/>
    <mergeCell ref="V52:AA52"/>
    <mergeCell ref="B53:C53"/>
    <mergeCell ref="J53:Q53"/>
    <mergeCell ref="T53:U53"/>
    <mergeCell ref="V53:AA53"/>
    <mergeCell ref="B54:C54"/>
    <mergeCell ref="J54:Q54"/>
    <mergeCell ref="T54:U54"/>
    <mergeCell ref="V54:AA54"/>
    <mergeCell ref="B55:C55"/>
    <mergeCell ref="J55:Q55"/>
    <mergeCell ref="T55:U55"/>
    <mergeCell ref="V55:AA55"/>
    <mergeCell ref="B56:C56"/>
    <mergeCell ref="J56:Q56"/>
    <mergeCell ref="T56:U56"/>
    <mergeCell ref="V56:AA56"/>
    <mergeCell ref="B57:C57"/>
    <mergeCell ref="J57:Q57"/>
    <mergeCell ref="T57:U57"/>
    <mergeCell ref="V57:AA57"/>
    <mergeCell ref="B59:R59"/>
    <mergeCell ref="T59:AA59"/>
    <mergeCell ref="B60:E60"/>
    <mergeCell ref="F60:H60"/>
    <mergeCell ref="I60:K60"/>
    <mergeCell ref="L60:M60"/>
    <mergeCell ref="N60:O60"/>
    <mergeCell ref="P60:R60"/>
    <mergeCell ref="B61:E61"/>
    <mergeCell ref="F61:H61"/>
    <mergeCell ref="I61:K61"/>
    <mergeCell ref="L61:M61"/>
    <mergeCell ref="N61:O61"/>
    <mergeCell ref="P61:R61"/>
    <mergeCell ref="B62:E62"/>
    <mergeCell ref="F62:H62"/>
    <mergeCell ref="I62:K62"/>
    <mergeCell ref="L62:M62"/>
    <mergeCell ref="N62:O62"/>
    <mergeCell ref="P62:R62"/>
    <mergeCell ref="B63:R63"/>
    <mergeCell ref="B64:E64"/>
    <mergeCell ref="F64:R64"/>
    <mergeCell ref="B65:E65"/>
    <mergeCell ref="F65:R65"/>
    <mergeCell ref="B66:E66"/>
    <mergeCell ref="F66:R66"/>
    <mergeCell ref="B67:E67"/>
    <mergeCell ref="F67:R67"/>
    <mergeCell ref="B68:E68"/>
    <mergeCell ref="F68:R68"/>
    <mergeCell ref="B69:E69"/>
    <mergeCell ref="F69:R69"/>
    <mergeCell ref="B71:R71"/>
    <mergeCell ref="T71:AA71"/>
    <mergeCell ref="B72:E72"/>
    <mergeCell ref="L72:Q72"/>
    <mergeCell ref="T72:AA72"/>
    <mergeCell ref="B73:E73"/>
    <mergeCell ref="L73:Q73"/>
    <mergeCell ref="B74:E74"/>
    <mergeCell ref="L74:Q74"/>
    <mergeCell ref="B75:E75"/>
    <mergeCell ref="L75:Q75"/>
    <mergeCell ref="T75:AA75"/>
    <mergeCell ref="B76:E76"/>
    <mergeCell ref="L76:Q76"/>
    <mergeCell ref="B77:E77"/>
    <mergeCell ref="L77:Q77"/>
    <mergeCell ref="B78:E78"/>
    <mergeCell ref="L78:Q78"/>
    <mergeCell ref="T78:AA78"/>
    <mergeCell ref="B79:E79"/>
    <mergeCell ref="L79:Q79"/>
    <mergeCell ref="B80:E80"/>
    <mergeCell ref="L80:Q80"/>
    <mergeCell ref="B81:E81"/>
    <mergeCell ref="L81:Q81"/>
    <mergeCell ref="B82:E82"/>
    <mergeCell ref="L82:Q82"/>
    <mergeCell ref="B83:E83"/>
    <mergeCell ref="L83:Q83"/>
    <mergeCell ref="B84:E84"/>
    <mergeCell ref="L84:Q84"/>
    <mergeCell ref="T84:AA84"/>
    <mergeCell ref="B85:E85"/>
    <mergeCell ref="L85:Q85"/>
    <mergeCell ref="B86:E86"/>
    <mergeCell ref="L86:Q86"/>
    <mergeCell ref="B87:E87"/>
    <mergeCell ref="L87:Q87"/>
    <mergeCell ref="B88:E88"/>
    <mergeCell ref="L88:Q88"/>
    <mergeCell ref="B89:E89"/>
    <mergeCell ref="L89:Q89"/>
    <mergeCell ref="B90:E90"/>
    <mergeCell ref="L90:Q90"/>
    <mergeCell ref="B91:E91"/>
    <mergeCell ref="L91:Q91"/>
    <mergeCell ref="B92:E92"/>
    <mergeCell ref="L92:Q92"/>
    <mergeCell ref="B93:E93"/>
    <mergeCell ref="L93:Q93"/>
    <mergeCell ref="B94:E94"/>
    <mergeCell ref="L94:Q94"/>
    <mergeCell ref="B95:E95"/>
    <mergeCell ref="L95:Q95"/>
    <mergeCell ref="B96:E96"/>
    <mergeCell ref="L96:Q96"/>
    <mergeCell ref="B97:E97"/>
    <mergeCell ref="L97:Q97"/>
    <mergeCell ref="B98:E98"/>
    <mergeCell ref="L98:Q98"/>
    <mergeCell ref="Z99:AA99"/>
    <mergeCell ref="B100:AA100"/>
    <mergeCell ref="B101:G101"/>
    <mergeCell ref="I101:AA101"/>
    <mergeCell ref="B102:G102"/>
    <mergeCell ref="I102:AA102"/>
    <mergeCell ref="B103:G103"/>
    <mergeCell ref="I103:AA103"/>
    <mergeCell ref="B104:G104"/>
    <mergeCell ref="I104:AA104"/>
    <mergeCell ref="B105:AA105"/>
    <mergeCell ref="B106:G106"/>
    <mergeCell ref="I106:AA106"/>
    <mergeCell ref="B107:G107"/>
    <mergeCell ref="I107:AA107"/>
    <mergeCell ref="B108:G108"/>
    <mergeCell ref="I108:AA108"/>
    <mergeCell ref="B110:AA110"/>
    <mergeCell ref="C111:G111"/>
    <mergeCell ref="I111:AA111"/>
    <mergeCell ref="C112:G112"/>
    <mergeCell ref="I112:AA112"/>
    <mergeCell ref="C113:G113"/>
    <mergeCell ref="I113:AA113"/>
    <mergeCell ref="C114:G114"/>
    <mergeCell ref="I114:AA114"/>
    <mergeCell ref="C115:G115"/>
    <mergeCell ref="I115:AA115"/>
    <mergeCell ref="C116:G116"/>
    <mergeCell ref="I116:AA116"/>
    <mergeCell ref="C117:G117"/>
    <mergeCell ref="I117:AA117"/>
    <mergeCell ref="C118:G118"/>
    <mergeCell ref="I118:AA118"/>
    <mergeCell ref="C119:G119"/>
    <mergeCell ref="I119:AA119"/>
    <mergeCell ref="C120:G120"/>
    <mergeCell ref="I120:AA120"/>
    <mergeCell ref="C121:G121"/>
    <mergeCell ref="I121:AA121"/>
    <mergeCell ref="C122:G122"/>
    <mergeCell ref="I122:AA122"/>
    <mergeCell ref="C123:G123"/>
    <mergeCell ref="I123:AA123"/>
    <mergeCell ref="C124:G124"/>
    <mergeCell ref="I124:AA124"/>
    <mergeCell ref="C125:G125"/>
    <mergeCell ref="I125:AA125"/>
    <mergeCell ref="C126:G126"/>
    <mergeCell ref="I126:AA126"/>
    <mergeCell ref="C127:G127"/>
    <mergeCell ref="I127:AA127"/>
    <mergeCell ref="C128:G128"/>
    <mergeCell ref="I128:AA128"/>
    <mergeCell ref="C129:G129"/>
    <mergeCell ref="I129:AA129"/>
    <mergeCell ref="C130:G130"/>
    <mergeCell ref="I130:AA130"/>
    <mergeCell ref="C131:G131"/>
    <mergeCell ref="I131:AA131"/>
    <mergeCell ref="C132:G132"/>
    <mergeCell ref="I132:AA132"/>
    <mergeCell ref="C133:G133"/>
    <mergeCell ref="I133:AA133"/>
    <mergeCell ref="C134:G134"/>
    <mergeCell ref="I134:AA134"/>
    <mergeCell ref="C135:G135"/>
    <mergeCell ref="I135:AA135"/>
    <mergeCell ref="C136:G136"/>
    <mergeCell ref="I136:AA136"/>
    <mergeCell ref="C137:G137"/>
    <mergeCell ref="I137:AA137"/>
    <mergeCell ref="B139:AA139"/>
    <mergeCell ref="B111:B117"/>
    <mergeCell ref="B118:B121"/>
    <mergeCell ref="B122:B125"/>
    <mergeCell ref="B126:B129"/>
    <mergeCell ref="B130:B133"/>
    <mergeCell ref="B134:B137"/>
    <mergeCell ref="D25:D27"/>
    <mergeCell ref="F25:F27"/>
    <mergeCell ref="H25:H27"/>
    <mergeCell ref="J25:J27"/>
    <mergeCell ref="L25:L27"/>
    <mergeCell ref="M6:M7"/>
    <mergeCell ref="M12:M14"/>
    <mergeCell ref="M15:M16"/>
    <mergeCell ref="M17:M19"/>
    <mergeCell ref="M20:M21"/>
    <mergeCell ref="N25:N27"/>
    <mergeCell ref="T2:T4"/>
    <mergeCell ref="O6:AA7"/>
    <mergeCell ref="B9:C10"/>
    <mergeCell ref="L9:M10"/>
    <mergeCell ref="T12:U21"/>
    <mergeCell ref="V12:AA21"/>
    <mergeCell ref="N13:R21"/>
    <mergeCell ref="N9:AA10"/>
    <mergeCell ref="W24:X27"/>
    <mergeCell ref="B33:C34"/>
    <mergeCell ref="T30:U31"/>
    <mergeCell ref="B140:AA158"/>
    <mergeCell ref="T73:AA74"/>
    <mergeCell ref="T79:AA82"/>
    <mergeCell ref="T76:AA77"/>
    <mergeCell ref="T85:AA98"/>
    <mergeCell ref="T60:U61"/>
    <mergeCell ref="V60:AA61"/>
    <mergeCell ref="T62:U63"/>
    <mergeCell ref="V62:AA63"/>
    <mergeCell ref="T64:U65"/>
    <mergeCell ref="V64:AA65"/>
    <mergeCell ref="T66:U67"/>
    <mergeCell ref="V66:AA67"/>
    <mergeCell ref="T68:U69"/>
    <mergeCell ref="V68:AA69"/>
  </mergeCells>
  <dataValidations count="4">
    <dataValidation type="list" allowBlank="1" showInputMessage="1" showErrorMessage="1" sqref="X2 F34:K34">
      <formula1>"是,否"</formula1>
    </dataValidation>
    <dataValidation type="list" allowBlank="1" showInputMessage="1" showErrorMessage="1" sqref="B7:E7">
      <formula1>职业数据!$E$2:$E$8</formula1>
    </dataValidation>
    <dataValidation type="list" allowBlank="1" showInputMessage="1" showErrorMessage="1" sqref="N7">
      <formula1>人物数据!$A$2:$A$101</formula1>
    </dataValidation>
    <dataValidation type="list" allowBlank="1" showInputMessage="1" showErrorMessage="1" sqref="F73:F98">
      <formula1>"-,S,T,Ag,Int,WP,Per,Fel"</formula1>
    </dataValidation>
  </dataValidations>
  <pageMargins left="0.7" right="0.7" top="0.75" bottom="0.75" header="0.511811023622047" footer="0.511811023622047"/>
  <pageSetup paperSize="9" orientation="portrait" horizontalDpi="300" verticalDpi="300"/>
  <headerFooter/>
  <ignoredErrors>
    <ignoredError sqref="AZ110:BQ132 A110:AC132 AZ54:BQ99 K4:M4 O4:P4 A7 C7:E7 A4:I4 A41:S58 I40:S40 A40:G40 A39:S39 AB29:BQ53 A3:Y3 I7:J7 L7:M7 A1:BQ1 A2:W2 Y2 AA2:BQ4 R4:X4 A5:BQ5 A6:E6 I6:N6 P6:BQ6 O7:BQ7 A8:BQ8 A9:F9 A10:C10 E10:F10 I9:I10 K9:K10 M9:BQ10 A12:H12 A11:BQ11 A13:A14 J12:BQ13 E13:H13 C13:C14 T14:BQ21 E18:R18 A18:C18 E14:R16 A15:C16 A22:BQ22 A29:S33 A34:M34 O34:S34 A35:S35 B36:S36 A37:S37 A38:E38 G38:S38 AB54:AC58 AC59:AC69 A70:AC70 B71:S72 AB71:AC98 G73:S73 F74:S82 F83:R83 F84:S93 G94:S94 F95:S98 A99:Q99 S99:AC99 A133:BQ159 A19:R21 A17:R17" formulaRange="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5"/>
  <sheetViews>
    <sheetView workbookViewId="0">
      <selection activeCell="A1" sqref="A$1:S$1048576"/>
    </sheetView>
  </sheetViews>
  <sheetFormatPr defaultColWidth="5.16666666666667" defaultRowHeight="18" customHeight="1"/>
  <cols>
    <col min="1" max="1" width="2.40833333333333" style="62" customWidth="1"/>
    <col min="2" max="18" width="5.15833333333333" style="62"/>
    <col min="19" max="19" width="2.40833333333333" style="62" customWidth="1"/>
    <col min="20" max="25" width="5.15833333333333" style="61"/>
    <col min="26" max="26" width="5.16666666666667" style="61"/>
    <col min="27" max="27" width="5.15833333333333" style="61"/>
    <col min="28" max="28" width="2.40833333333333" style="61" customWidth="1"/>
    <col min="29" max="29" width="7.25" style="61" customWidth="1"/>
    <col min="30" max="16384" width="5.15833333333333" style="61"/>
  </cols>
  <sheetData>
    <row r="1" s="61" customFormat="1" customHeight="1" spans="1:19">
      <c r="A1" s="63"/>
      <c r="B1" s="64" t="s">
        <v>177</v>
      </c>
      <c r="C1" s="64"/>
      <c r="D1" s="64"/>
      <c r="E1" s="64"/>
      <c r="F1" s="64"/>
      <c r="G1" s="64"/>
      <c r="H1" s="64"/>
      <c r="I1" s="64"/>
      <c r="J1" s="64"/>
      <c r="K1" s="64"/>
      <c r="L1" s="64"/>
      <c r="M1" s="64"/>
      <c r="N1" s="64"/>
      <c r="O1" s="64"/>
      <c r="P1" s="64"/>
      <c r="Q1" s="64"/>
      <c r="R1" s="64"/>
      <c r="S1" s="63"/>
    </row>
    <row r="2" s="61" customFormat="1" customHeight="1" spans="1:19">
      <c r="A2" s="63"/>
      <c r="B2" s="65" t="s">
        <v>178</v>
      </c>
      <c r="C2" s="65"/>
      <c r="D2" s="65"/>
      <c r="E2" s="65"/>
      <c r="F2" s="65"/>
      <c r="G2" s="65"/>
      <c r="H2" s="65"/>
      <c r="I2" s="65"/>
      <c r="J2" s="65"/>
      <c r="K2" s="65"/>
      <c r="L2" s="65"/>
      <c r="M2" s="65"/>
      <c r="N2" s="65"/>
      <c r="O2" s="65"/>
      <c r="P2" s="65"/>
      <c r="Q2" s="65"/>
      <c r="R2" s="65"/>
      <c r="S2" s="63"/>
    </row>
    <row r="3" s="61" customFormat="1" customHeight="1" spans="1:19">
      <c r="A3" s="63"/>
      <c r="B3" s="66" t="s">
        <v>179</v>
      </c>
      <c r="C3" s="66"/>
      <c r="D3" s="67" t="s">
        <v>180</v>
      </c>
      <c r="E3" s="67"/>
      <c r="F3" s="67"/>
      <c r="G3" s="67"/>
      <c r="H3" s="67"/>
      <c r="I3" s="67"/>
      <c r="J3" s="67" t="s">
        <v>181</v>
      </c>
      <c r="K3" s="67" t="s">
        <v>182</v>
      </c>
      <c r="L3" s="67"/>
      <c r="M3" s="67"/>
      <c r="N3" s="67"/>
      <c r="O3" s="67"/>
      <c r="P3" s="67"/>
      <c r="Q3" s="67" t="s">
        <v>183</v>
      </c>
      <c r="R3" s="67" t="s">
        <v>184</v>
      </c>
      <c r="S3" s="63"/>
    </row>
    <row r="4" s="61" customFormat="1" customHeight="1" spans="1:19">
      <c r="A4" s="63"/>
      <c r="B4" s="51"/>
      <c r="C4" s="51"/>
      <c r="D4" s="51"/>
      <c r="E4" s="51"/>
      <c r="F4" s="51"/>
      <c r="G4" s="51"/>
      <c r="H4" s="51"/>
      <c r="I4" s="51"/>
      <c r="J4" s="51"/>
      <c r="K4" s="51"/>
      <c r="L4" s="51"/>
      <c r="M4" s="51"/>
      <c r="N4" s="51"/>
      <c r="O4" s="51"/>
      <c r="P4" s="51"/>
      <c r="Q4" s="51"/>
      <c r="R4" s="51">
        <f>人物!K$13</f>
        <v>0</v>
      </c>
      <c r="S4" s="63"/>
    </row>
    <row r="5" s="61" customFormat="1" customHeight="1" spans="1:19">
      <c r="A5" s="63"/>
      <c r="B5" s="68" t="s">
        <v>185</v>
      </c>
      <c r="C5" s="68"/>
      <c r="D5" s="68"/>
      <c r="E5" s="68"/>
      <c r="F5" s="68"/>
      <c r="G5" s="68"/>
      <c r="H5" s="68"/>
      <c r="I5" s="68"/>
      <c r="J5" s="68"/>
      <c r="K5" s="68"/>
      <c r="L5" s="68"/>
      <c r="M5" s="68"/>
      <c r="N5" s="68"/>
      <c r="O5" s="68"/>
      <c r="P5" s="68"/>
      <c r="Q5" s="68"/>
      <c r="R5" s="68"/>
      <c r="S5" s="63"/>
    </row>
    <row r="6" s="61" customFormat="1" customHeight="1" spans="1:19">
      <c r="A6" s="63"/>
      <c r="B6" s="54"/>
      <c r="C6" s="54"/>
      <c r="D6" s="54"/>
      <c r="E6" s="54"/>
      <c r="F6" s="54"/>
      <c r="G6" s="54"/>
      <c r="H6" s="54"/>
      <c r="I6" s="54"/>
      <c r="J6" s="54"/>
      <c r="K6" s="54"/>
      <c r="L6" s="54"/>
      <c r="M6" s="54"/>
      <c r="N6" s="54"/>
      <c r="O6" s="54"/>
      <c r="P6" s="54"/>
      <c r="Q6" s="54"/>
      <c r="R6" s="54"/>
      <c r="S6" s="63"/>
    </row>
    <row r="7" s="61" customFormat="1" customHeight="1" spans="1:19">
      <c r="A7" s="63"/>
      <c r="B7" s="54"/>
      <c r="C7" s="54"/>
      <c r="D7" s="54"/>
      <c r="E7" s="54"/>
      <c r="F7" s="54"/>
      <c r="G7" s="54"/>
      <c r="H7" s="54"/>
      <c r="I7" s="54"/>
      <c r="J7" s="54"/>
      <c r="K7" s="54"/>
      <c r="L7" s="54"/>
      <c r="M7" s="54"/>
      <c r="N7" s="54"/>
      <c r="O7" s="54"/>
      <c r="P7" s="54"/>
      <c r="Q7" s="54"/>
      <c r="R7" s="54"/>
      <c r="S7" s="63"/>
    </row>
    <row r="8" s="61" customFormat="1" customHeight="1" spans="1:19">
      <c r="A8" s="63"/>
      <c r="B8" s="68" t="s">
        <v>186</v>
      </c>
      <c r="C8" s="68"/>
      <c r="D8" s="68"/>
      <c r="E8" s="68"/>
      <c r="F8" s="68"/>
      <c r="G8" s="68"/>
      <c r="H8" s="68"/>
      <c r="I8" s="68"/>
      <c r="J8" s="68"/>
      <c r="K8" s="68"/>
      <c r="L8" s="68"/>
      <c r="M8" s="68"/>
      <c r="N8" s="68"/>
      <c r="O8" s="68"/>
      <c r="P8" s="68"/>
      <c r="Q8" s="68"/>
      <c r="R8" s="68"/>
      <c r="S8" s="63"/>
    </row>
    <row r="9" s="61" customFormat="1" customHeight="1" spans="1:19">
      <c r="A9" s="63"/>
      <c r="B9" s="54"/>
      <c r="C9" s="54"/>
      <c r="D9" s="54"/>
      <c r="E9" s="54"/>
      <c r="F9" s="54"/>
      <c r="G9" s="54"/>
      <c r="H9" s="54"/>
      <c r="I9" s="54"/>
      <c r="J9" s="54"/>
      <c r="K9" s="54"/>
      <c r="L9" s="54"/>
      <c r="M9" s="54"/>
      <c r="N9" s="54"/>
      <c r="O9" s="54"/>
      <c r="P9" s="54"/>
      <c r="Q9" s="54"/>
      <c r="R9" s="54"/>
      <c r="S9" s="63"/>
    </row>
    <row r="10" s="61" customFormat="1" customHeight="1" spans="1:19">
      <c r="A10" s="63"/>
      <c r="B10" s="54"/>
      <c r="C10" s="54"/>
      <c r="D10" s="54"/>
      <c r="E10" s="54"/>
      <c r="F10" s="54"/>
      <c r="G10" s="54"/>
      <c r="H10" s="54"/>
      <c r="I10" s="54"/>
      <c r="J10" s="54"/>
      <c r="K10" s="54"/>
      <c r="L10" s="54"/>
      <c r="M10" s="54"/>
      <c r="N10" s="54"/>
      <c r="O10" s="54"/>
      <c r="P10" s="54"/>
      <c r="Q10" s="54"/>
      <c r="R10" s="54"/>
      <c r="S10" s="63"/>
    </row>
    <row r="11" s="61" customFormat="1" customHeight="1" spans="1:19">
      <c r="A11" s="63"/>
      <c r="B11" s="64" t="s">
        <v>187</v>
      </c>
      <c r="C11" s="64"/>
      <c r="D11" s="64"/>
      <c r="E11" s="64"/>
      <c r="F11" s="64"/>
      <c r="G11" s="64"/>
      <c r="H11" s="64"/>
      <c r="I11" s="64"/>
      <c r="J11" s="64"/>
      <c r="K11" s="64"/>
      <c r="L11" s="64"/>
      <c r="M11" s="64"/>
      <c r="N11" s="64"/>
      <c r="O11" s="64"/>
      <c r="P11" s="64"/>
      <c r="Q11" s="64"/>
      <c r="R11" s="64"/>
      <c r="S11" s="63"/>
    </row>
    <row r="12" s="61" customFormat="1" customHeight="1" spans="1:19">
      <c r="A12" s="63"/>
      <c r="B12" s="65" t="s">
        <v>178</v>
      </c>
      <c r="C12" s="65"/>
      <c r="D12" s="65"/>
      <c r="E12" s="65"/>
      <c r="F12" s="65"/>
      <c r="G12" s="65"/>
      <c r="H12" s="65"/>
      <c r="I12" s="65"/>
      <c r="J12" s="65"/>
      <c r="K12" s="65"/>
      <c r="L12" s="65"/>
      <c r="M12" s="65"/>
      <c r="N12" s="65"/>
      <c r="O12" s="65"/>
      <c r="P12" s="65"/>
      <c r="Q12" s="65"/>
      <c r="R12" s="65"/>
      <c r="S12" s="63"/>
    </row>
    <row r="13" s="61" customFormat="1" customHeight="1" spans="1:19">
      <c r="A13" s="63"/>
      <c r="B13" s="68" t="s">
        <v>179</v>
      </c>
      <c r="C13" s="68"/>
      <c r="D13" s="67" t="s">
        <v>188</v>
      </c>
      <c r="E13" s="67"/>
      <c r="F13" s="67" t="s">
        <v>189</v>
      </c>
      <c r="G13" s="67"/>
      <c r="H13" s="67"/>
      <c r="I13" s="67" t="s">
        <v>181</v>
      </c>
      <c r="J13" s="67" t="s">
        <v>182</v>
      </c>
      <c r="K13" s="67"/>
      <c r="L13" s="67"/>
      <c r="M13" s="67"/>
      <c r="N13" s="67"/>
      <c r="O13" s="67"/>
      <c r="P13" s="67"/>
      <c r="Q13" s="67" t="s">
        <v>183</v>
      </c>
      <c r="R13" s="67" t="s">
        <v>190</v>
      </c>
      <c r="S13" s="63"/>
    </row>
    <row r="14" s="61" customFormat="1" customHeight="1" spans="1:19">
      <c r="A14" s="63"/>
      <c r="B14" s="51"/>
      <c r="C14" s="51"/>
      <c r="D14" s="51"/>
      <c r="E14" s="51"/>
      <c r="F14" s="51"/>
      <c r="G14" s="51"/>
      <c r="H14" s="51"/>
      <c r="I14" s="51"/>
      <c r="J14" s="51"/>
      <c r="K14" s="51"/>
      <c r="L14" s="51"/>
      <c r="M14" s="51"/>
      <c r="N14" s="51"/>
      <c r="O14" s="51"/>
      <c r="P14" s="51"/>
      <c r="Q14" s="51"/>
      <c r="R14" s="51">
        <f>人物!K$14</f>
        <v>0</v>
      </c>
      <c r="S14" s="63"/>
    </row>
    <row r="15" s="61" customFormat="1" customHeight="1" spans="1:19">
      <c r="A15" s="63"/>
      <c r="B15" s="68" t="s">
        <v>180</v>
      </c>
      <c r="C15" s="68"/>
      <c r="D15" s="51"/>
      <c r="E15" s="51"/>
      <c r="F15" s="51"/>
      <c r="G15" s="51"/>
      <c r="H15" s="51"/>
      <c r="I15" s="68" t="s">
        <v>191</v>
      </c>
      <c r="J15" s="51"/>
      <c r="K15" s="51"/>
      <c r="L15" s="51"/>
      <c r="M15" s="51"/>
      <c r="N15" s="51"/>
      <c r="O15" s="68" t="s">
        <v>192</v>
      </c>
      <c r="P15" s="68"/>
      <c r="Q15" s="51"/>
      <c r="R15" s="51"/>
      <c r="S15" s="63"/>
    </row>
    <row r="16" s="61" customFormat="1" customHeight="1" spans="1:19">
      <c r="A16" s="63"/>
      <c r="B16" s="68" t="s">
        <v>185</v>
      </c>
      <c r="C16" s="68"/>
      <c r="D16" s="68"/>
      <c r="E16" s="68"/>
      <c r="F16" s="68"/>
      <c r="G16" s="68"/>
      <c r="H16" s="68"/>
      <c r="I16" s="68"/>
      <c r="J16" s="68"/>
      <c r="K16" s="68"/>
      <c r="L16" s="68"/>
      <c r="M16" s="68"/>
      <c r="N16" s="68"/>
      <c r="O16" s="68"/>
      <c r="P16" s="68"/>
      <c r="Q16" s="68"/>
      <c r="R16" s="68"/>
      <c r="S16" s="63"/>
    </row>
    <row r="17" s="61" customFormat="1" customHeight="1" spans="1:19">
      <c r="A17" s="63"/>
      <c r="B17" s="54"/>
      <c r="C17" s="54"/>
      <c r="D17" s="54"/>
      <c r="E17" s="54"/>
      <c r="F17" s="54"/>
      <c r="G17" s="54"/>
      <c r="H17" s="54"/>
      <c r="I17" s="54"/>
      <c r="J17" s="54"/>
      <c r="K17" s="54"/>
      <c r="L17" s="54"/>
      <c r="M17" s="54"/>
      <c r="N17" s="54"/>
      <c r="O17" s="54"/>
      <c r="P17" s="54"/>
      <c r="Q17" s="54"/>
      <c r="R17" s="54"/>
      <c r="S17" s="63"/>
    </row>
    <row r="18" s="61" customFormat="1" customHeight="1" spans="1:19">
      <c r="A18" s="63"/>
      <c r="B18" s="54"/>
      <c r="C18" s="54"/>
      <c r="D18" s="54"/>
      <c r="E18" s="54"/>
      <c r="F18" s="54"/>
      <c r="G18" s="54"/>
      <c r="H18" s="54"/>
      <c r="I18" s="54"/>
      <c r="J18" s="54"/>
      <c r="K18" s="54"/>
      <c r="L18" s="54"/>
      <c r="M18" s="54"/>
      <c r="N18" s="54"/>
      <c r="O18" s="54"/>
      <c r="P18" s="54"/>
      <c r="Q18" s="54"/>
      <c r="R18" s="54"/>
      <c r="S18" s="63"/>
    </row>
    <row r="19" s="61" customFormat="1" customHeight="1" spans="1:19">
      <c r="A19" s="63"/>
      <c r="B19" s="68" t="s">
        <v>186</v>
      </c>
      <c r="C19" s="68"/>
      <c r="D19" s="68"/>
      <c r="E19" s="68"/>
      <c r="F19" s="68"/>
      <c r="G19" s="68"/>
      <c r="H19" s="68"/>
      <c r="I19" s="68"/>
      <c r="J19" s="68"/>
      <c r="K19" s="68"/>
      <c r="L19" s="68"/>
      <c r="M19" s="68"/>
      <c r="N19" s="68"/>
      <c r="O19" s="68"/>
      <c r="P19" s="68"/>
      <c r="Q19" s="68"/>
      <c r="R19" s="68"/>
      <c r="S19" s="63"/>
    </row>
    <row r="20" s="61" customFormat="1" customHeight="1" spans="1:19">
      <c r="A20" s="63"/>
      <c r="B20" s="54"/>
      <c r="C20" s="54"/>
      <c r="D20" s="54"/>
      <c r="E20" s="54"/>
      <c r="F20" s="54"/>
      <c r="G20" s="54"/>
      <c r="H20" s="54"/>
      <c r="I20" s="54"/>
      <c r="J20" s="54"/>
      <c r="K20" s="54"/>
      <c r="L20" s="54"/>
      <c r="M20" s="54"/>
      <c r="N20" s="54"/>
      <c r="O20" s="54"/>
      <c r="P20" s="54"/>
      <c r="Q20" s="54"/>
      <c r="R20" s="54"/>
      <c r="S20" s="63"/>
    </row>
    <row r="21" s="61" customFormat="1" customHeight="1" spans="1:19">
      <c r="A21" s="63"/>
      <c r="B21" s="54"/>
      <c r="C21" s="54"/>
      <c r="D21" s="54"/>
      <c r="E21" s="54"/>
      <c r="F21" s="54"/>
      <c r="G21" s="54"/>
      <c r="H21" s="54"/>
      <c r="I21" s="54"/>
      <c r="J21" s="54"/>
      <c r="K21" s="54"/>
      <c r="L21" s="54"/>
      <c r="M21" s="54"/>
      <c r="N21" s="54"/>
      <c r="O21" s="54"/>
      <c r="P21" s="54"/>
      <c r="Q21" s="54"/>
      <c r="R21" s="54"/>
      <c r="S21" s="63"/>
    </row>
    <row r="22" s="61" customFormat="1" customHeight="1" spans="1:19">
      <c r="A22" s="63"/>
      <c r="B22" s="64"/>
      <c r="C22" s="64"/>
      <c r="D22" s="64"/>
      <c r="E22" s="64"/>
      <c r="F22" s="64"/>
      <c r="G22" s="64"/>
      <c r="H22" s="64"/>
      <c r="I22" s="64"/>
      <c r="J22" s="64"/>
      <c r="K22" s="64"/>
      <c r="L22" s="64"/>
      <c r="M22" s="64"/>
      <c r="N22" s="64"/>
      <c r="O22" s="64"/>
      <c r="P22" s="64"/>
      <c r="Q22" s="64"/>
      <c r="R22" s="64"/>
      <c r="S22" s="63"/>
    </row>
    <row r="23" s="61" customFormat="1" customHeight="1" spans="1:19">
      <c r="A23" s="63"/>
      <c r="B23" s="69" t="s">
        <v>193</v>
      </c>
      <c r="C23" s="69"/>
      <c r="D23" s="69"/>
      <c r="E23" s="69"/>
      <c r="F23" s="69"/>
      <c r="G23" s="69"/>
      <c r="H23" s="69"/>
      <c r="I23" s="69"/>
      <c r="J23" s="69"/>
      <c r="K23" s="69"/>
      <c r="L23" s="69"/>
      <c r="M23" s="69"/>
      <c r="N23" s="69"/>
      <c r="O23" s="69"/>
      <c r="P23" s="69"/>
      <c r="Q23" s="69"/>
      <c r="R23" s="69"/>
      <c r="S23" s="63"/>
    </row>
    <row r="24" s="61" customFormat="1" customHeight="1" spans="1:19">
      <c r="A24" s="63"/>
      <c r="B24" s="70" t="s">
        <v>109</v>
      </c>
      <c r="C24" s="70"/>
      <c r="D24" s="70"/>
      <c r="E24" s="70"/>
      <c r="F24" s="70" t="s">
        <v>179</v>
      </c>
      <c r="G24" s="70"/>
      <c r="H24" s="67" t="s">
        <v>188</v>
      </c>
      <c r="I24" s="67" t="s">
        <v>189</v>
      </c>
      <c r="J24" s="70" t="s">
        <v>180</v>
      </c>
      <c r="K24" s="70"/>
      <c r="L24" s="67" t="s">
        <v>181</v>
      </c>
      <c r="M24" s="67" t="s">
        <v>194</v>
      </c>
      <c r="N24" s="67" t="s">
        <v>192</v>
      </c>
      <c r="O24" s="67" t="s">
        <v>182</v>
      </c>
      <c r="P24" s="67"/>
      <c r="Q24" s="67" t="s">
        <v>183</v>
      </c>
      <c r="R24" s="67" t="s">
        <v>36</v>
      </c>
      <c r="S24" s="63"/>
    </row>
    <row r="25" s="61" customFormat="1" customHeight="1" spans="1:19">
      <c r="A25" s="63"/>
      <c r="B25" s="51"/>
      <c r="C25" s="51"/>
      <c r="D25" s="51"/>
      <c r="E25" s="51"/>
      <c r="F25" s="51"/>
      <c r="G25" s="51"/>
      <c r="H25" s="51"/>
      <c r="I25" s="51"/>
      <c r="J25" s="51"/>
      <c r="K25" s="51"/>
      <c r="L25" s="51"/>
      <c r="M25" s="51"/>
      <c r="N25" s="51"/>
      <c r="O25" s="51"/>
      <c r="P25" s="51"/>
      <c r="Q25" s="51"/>
      <c r="R25" s="51"/>
      <c r="S25" s="63"/>
    </row>
    <row r="26" s="61" customFormat="1" customHeight="1" spans="1:19">
      <c r="A26" s="63"/>
      <c r="B26" s="51"/>
      <c r="C26" s="51"/>
      <c r="D26" s="51"/>
      <c r="E26" s="51"/>
      <c r="F26" s="51"/>
      <c r="G26" s="51"/>
      <c r="H26" s="51"/>
      <c r="I26" s="51"/>
      <c r="J26" s="51"/>
      <c r="K26" s="51"/>
      <c r="L26" s="51"/>
      <c r="M26" s="51"/>
      <c r="N26" s="51"/>
      <c r="O26" s="51"/>
      <c r="P26" s="51"/>
      <c r="Q26" s="51"/>
      <c r="R26" s="51"/>
      <c r="S26" s="63"/>
    </row>
    <row r="27" s="61" customFormat="1" customHeight="1" spans="1:19">
      <c r="A27" s="63"/>
      <c r="B27" s="51"/>
      <c r="C27" s="51"/>
      <c r="D27" s="51"/>
      <c r="E27" s="51"/>
      <c r="F27" s="51"/>
      <c r="G27" s="51"/>
      <c r="H27" s="71"/>
      <c r="I27" s="51"/>
      <c r="J27" s="51"/>
      <c r="K27" s="51"/>
      <c r="L27" s="51"/>
      <c r="M27" s="51"/>
      <c r="N27" s="51"/>
      <c r="O27" s="51"/>
      <c r="P27" s="51"/>
      <c r="Q27" s="51"/>
      <c r="R27" s="51"/>
      <c r="S27" s="63"/>
    </row>
    <row r="28" s="61" customFormat="1" customHeight="1" spans="1:19">
      <c r="A28" s="63"/>
      <c r="B28" s="51"/>
      <c r="C28" s="51"/>
      <c r="D28" s="51"/>
      <c r="E28" s="51"/>
      <c r="F28" s="51"/>
      <c r="G28" s="51"/>
      <c r="H28" s="51"/>
      <c r="I28" s="51"/>
      <c r="J28" s="51"/>
      <c r="K28" s="51"/>
      <c r="L28" s="51"/>
      <c r="M28" s="51"/>
      <c r="N28" s="51"/>
      <c r="O28" s="51"/>
      <c r="P28" s="51"/>
      <c r="Q28" s="51"/>
      <c r="R28" s="51"/>
      <c r="S28" s="63"/>
    </row>
    <row r="29" s="61" customFormat="1" customHeight="1" spans="1:19">
      <c r="A29" s="63"/>
      <c r="B29" s="51"/>
      <c r="C29" s="51"/>
      <c r="D29" s="51"/>
      <c r="E29" s="51"/>
      <c r="F29" s="51"/>
      <c r="G29" s="51"/>
      <c r="H29" s="51"/>
      <c r="I29" s="51"/>
      <c r="J29" s="51"/>
      <c r="K29" s="51"/>
      <c r="L29" s="51"/>
      <c r="M29" s="51"/>
      <c r="N29" s="51"/>
      <c r="O29" s="51"/>
      <c r="P29" s="51"/>
      <c r="Q29" s="51"/>
      <c r="R29" s="51"/>
      <c r="S29" s="63"/>
    </row>
    <row r="30" s="61" customFormat="1" customHeight="1" spans="1:19">
      <c r="A30" s="72"/>
      <c r="B30" s="72"/>
      <c r="C30" s="72"/>
      <c r="D30" s="72"/>
      <c r="E30" s="72"/>
      <c r="F30" s="72"/>
      <c r="G30" s="72"/>
      <c r="H30" s="72"/>
      <c r="I30" s="72"/>
      <c r="J30" s="72"/>
      <c r="K30" s="72"/>
      <c r="L30" s="72"/>
      <c r="M30" s="72"/>
      <c r="N30" s="72"/>
      <c r="O30" s="72"/>
      <c r="P30" s="72"/>
      <c r="Q30" s="64">
        <f>SUM(R25:R29)</f>
        <v>0</v>
      </c>
      <c r="R30" s="64"/>
      <c r="S30" s="63"/>
    </row>
    <row r="31" s="61" customFormat="1" customHeight="1" spans="1:19">
      <c r="A31" s="63"/>
      <c r="B31" s="69" t="s">
        <v>195</v>
      </c>
      <c r="C31" s="69"/>
      <c r="D31" s="69"/>
      <c r="E31" s="69"/>
      <c r="F31" s="69"/>
      <c r="G31" s="69"/>
      <c r="H31" s="69"/>
      <c r="I31" s="69"/>
      <c r="J31" s="69"/>
      <c r="K31" s="69"/>
      <c r="L31" s="69"/>
      <c r="M31" s="69"/>
      <c r="N31" s="69"/>
      <c r="O31" s="69"/>
      <c r="P31" s="69"/>
      <c r="Q31" s="69"/>
      <c r="R31" s="69"/>
      <c r="S31" s="63"/>
    </row>
    <row r="32" s="61" customFormat="1" customHeight="1" spans="1:19">
      <c r="A32" s="63"/>
      <c r="B32" s="70" t="s">
        <v>109</v>
      </c>
      <c r="C32" s="70"/>
      <c r="D32" s="70"/>
      <c r="E32" s="70"/>
      <c r="F32" s="70" t="s">
        <v>179</v>
      </c>
      <c r="G32" s="70"/>
      <c r="H32" s="67" t="s">
        <v>113</v>
      </c>
      <c r="I32" s="67" t="s">
        <v>196</v>
      </c>
      <c r="J32" s="67"/>
      <c r="K32" s="67"/>
      <c r="L32" s="67"/>
      <c r="M32" s="67"/>
      <c r="N32" s="67"/>
      <c r="O32" s="67"/>
      <c r="P32" s="67"/>
      <c r="Q32" s="67" t="s">
        <v>183</v>
      </c>
      <c r="R32" s="67" t="s">
        <v>36</v>
      </c>
      <c r="S32" s="63"/>
    </row>
    <row r="33" s="61" customFormat="1" customHeight="1" spans="1:19">
      <c r="A33" s="63"/>
      <c r="B33" s="51"/>
      <c r="C33" s="51"/>
      <c r="D33" s="51"/>
      <c r="E33" s="51"/>
      <c r="F33" s="51"/>
      <c r="G33" s="51"/>
      <c r="H33" s="51"/>
      <c r="I33" s="51"/>
      <c r="J33" s="51"/>
      <c r="K33" s="51"/>
      <c r="L33" s="51"/>
      <c r="M33" s="51"/>
      <c r="N33" s="51"/>
      <c r="O33" s="51"/>
      <c r="P33" s="51"/>
      <c r="Q33" s="51"/>
      <c r="R33" s="51"/>
      <c r="S33" s="63"/>
    </row>
    <row r="34" s="61" customFormat="1" customHeight="1" spans="1:19">
      <c r="A34" s="63"/>
      <c r="B34" s="51"/>
      <c r="C34" s="51"/>
      <c r="D34" s="51"/>
      <c r="E34" s="51"/>
      <c r="F34" s="51"/>
      <c r="G34" s="51"/>
      <c r="H34" s="51"/>
      <c r="I34" s="51"/>
      <c r="J34" s="51"/>
      <c r="K34" s="51"/>
      <c r="L34" s="51"/>
      <c r="M34" s="51"/>
      <c r="N34" s="51"/>
      <c r="O34" s="51"/>
      <c r="P34" s="51"/>
      <c r="Q34" s="51"/>
      <c r="R34" s="51"/>
      <c r="S34" s="63"/>
    </row>
    <row r="35" s="61" customFormat="1" customHeight="1" spans="1:19">
      <c r="A35" s="72"/>
      <c r="B35" s="72"/>
      <c r="C35" s="72"/>
      <c r="D35" s="72"/>
      <c r="E35" s="72"/>
      <c r="F35" s="72"/>
      <c r="G35" s="72"/>
      <c r="H35" s="72"/>
      <c r="I35" s="72"/>
      <c r="J35" s="72"/>
      <c r="K35" s="72"/>
      <c r="L35" s="72"/>
      <c r="M35" s="72"/>
      <c r="N35" s="72"/>
      <c r="O35" s="72"/>
      <c r="P35" s="72"/>
      <c r="Q35" s="64">
        <f>SUM(R33:R34)</f>
        <v>0</v>
      </c>
      <c r="R35" s="64"/>
      <c r="S35" s="63"/>
    </row>
    <row r="36" s="61" customFormat="1" customHeight="1" spans="1:19">
      <c r="A36" s="63"/>
      <c r="B36" s="69" t="s">
        <v>197</v>
      </c>
      <c r="C36" s="69"/>
      <c r="D36" s="69"/>
      <c r="E36" s="69"/>
      <c r="F36" s="69"/>
      <c r="G36" s="69"/>
      <c r="H36" s="69"/>
      <c r="I36" s="69"/>
      <c r="J36" s="69"/>
      <c r="K36" s="69"/>
      <c r="L36" s="69"/>
      <c r="M36" s="69"/>
      <c r="N36" s="69"/>
      <c r="O36" s="69"/>
      <c r="P36" s="69"/>
      <c r="Q36" s="69"/>
      <c r="R36" s="69"/>
      <c r="S36" s="63"/>
    </row>
    <row r="37" s="61" customFormat="1" customHeight="1" spans="1:19">
      <c r="A37" s="63"/>
      <c r="B37" s="70" t="s">
        <v>109</v>
      </c>
      <c r="C37" s="70"/>
      <c r="D37" s="70"/>
      <c r="E37" s="70"/>
      <c r="F37" s="67" t="s">
        <v>196</v>
      </c>
      <c r="G37" s="67"/>
      <c r="H37" s="67"/>
      <c r="I37" s="67"/>
      <c r="J37" s="67"/>
      <c r="K37" s="67"/>
      <c r="L37" s="67"/>
      <c r="M37" s="67"/>
      <c r="N37" s="67"/>
      <c r="O37" s="67"/>
      <c r="P37" s="67"/>
      <c r="Q37" s="67" t="s">
        <v>183</v>
      </c>
      <c r="R37" s="67" t="s">
        <v>36</v>
      </c>
      <c r="S37" s="63"/>
    </row>
    <row r="38" s="61" customFormat="1" customHeight="1" spans="1:19">
      <c r="A38" s="63"/>
      <c r="B38" s="51"/>
      <c r="C38" s="51"/>
      <c r="D38" s="51"/>
      <c r="E38" s="51"/>
      <c r="F38" s="51"/>
      <c r="G38" s="51"/>
      <c r="H38" s="51"/>
      <c r="I38" s="51"/>
      <c r="J38" s="51"/>
      <c r="K38" s="51"/>
      <c r="L38" s="51"/>
      <c r="M38" s="51"/>
      <c r="N38" s="51"/>
      <c r="O38" s="51"/>
      <c r="P38" s="51"/>
      <c r="Q38" s="51"/>
      <c r="R38" s="51"/>
      <c r="S38" s="63"/>
    </row>
    <row r="39" s="61" customFormat="1" customHeight="1" spans="1:19">
      <c r="A39" s="63"/>
      <c r="B39" s="51"/>
      <c r="C39" s="51"/>
      <c r="D39" s="51"/>
      <c r="E39" s="51"/>
      <c r="F39" s="51"/>
      <c r="G39" s="51"/>
      <c r="H39" s="51"/>
      <c r="I39" s="51"/>
      <c r="J39" s="51"/>
      <c r="K39" s="51"/>
      <c r="L39" s="51"/>
      <c r="M39" s="51"/>
      <c r="N39" s="51"/>
      <c r="O39" s="51"/>
      <c r="P39" s="51"/>
      <c r="Q39" s="51"/>
      <c r="R39" s="51"/>
      <c r="S39" s="63"/>
    </row>
    <row r="40" s="61" customFormat="1" customHeight="1" spans="1:19">
      <c r="A40" s="63"/>
      <c r="B40" s="51"/>
      <c r="C40" s="51"/>
      <c r="D40" s="51"/>
      <c r="E40" s="51"/>
      <c r="F40" s="51"/>
      <c r="G40" s="51"/>
      <c r="H40" s="51"/>
      <c r="I40" s="51"/>
      <c r="J40" s="51"/>
      <c r="K40" s="51"/>
      <c r="L40" s="51"/>
      <c r="M40" s="51"/>
      <c r="N40" s="51"/>
      <c r="O40" s="51"/>
      <c r="P40" s="51"/>
      <c r="Q40" s="51"/>
      <c r="R40" s="51"/>
      <c r="S40" s="63"/>
    </row>
    <row r="41" s="61" customFormat="1" customHeight="1" spans="1:19">
      <c r="A41" s="63"/>
      <c r="B41" s="51"/>
      <c r="C41" s="51"/>
      <c r="D41" s="51"/>
      <c r="E41" s="51"/>
      <c r="F41" s="51"/>
      <c r="G41" s="51"/>
      <c r="H41" s="51"/>
      <c r="I41" s="51"/>
      <c r="J41" s="51"/>
      <c r="K41" s="51"/>
      <c r="L41" s="51"/>
      <c r="M41" s="51"/>
      <c r="N41" s="51"/>
      <c r="O41" s="51"/>
      <c r="P41" s="51"/>
      <c r="Q41" s="51"/>
      <c r="R41" s="51"/>
      <c r="S41" s="63"/>
    </row>
    <row r="42" s="61" customFormat="1" customHeight="1" spans="1:19">
      <c r="A42" s="63"/>
      <c r="B42" s="51"/>
      <c r="C42" s="51"/>
      <c r="D42" s="51"/>
      <c r="E42" s="51"/>
      <c r="F42" s="51"/>
      <c r="G42" s="51"/>
      <c r="H42" s="51"/>
      <c r="I42" s="51"/>
      <c r="J42" s="51"/>
      <c r="K42" s="51"/>
      <c r="L42" s="51"/>
      <c r="M42" s="51"/>
      <c r="N42" s="51"/>
      <c r="O42" s="51"/>
      <c r="P42" s="51"/>
      <c r="Q42" s="51"/>
      <c r="R42" s="51"/>
      <c r="S42" s="63"/>
    </row>
    <row r="43" s="61" customFormat="1" customHeight="1" spans="1:19">
      <c r="A43" s="63"/>
      <c r="B43" s="51"/>
      <c r="C43" s="51"/>
      <c r="D43" s="51"/>
      <c r="E43" s="51"/>
      <c r="F43" s="51"/>
      <c r="G43" s="51"/>
      <c r="H43" s="51"/>
      <c r="I43" s="51"/>
      <c r="J43" s="51"/>
      <c r="K43" s="51"/>
      <c r="L43" s="51"/>
      <c r="M43" s="51"/>
      <c r="N43" s="51"/>
      <c r="O43" s="51"/>
      <c r="P43" s="51"/>
      <c r="Q43" s="51"/>
      <c r="R43" s="51"/>
      <c r="S43" s="63"/>
    </row>
    <row r="44" s="61" customFormat="1" customHeight="1" spans="1:19">
      <c r="A44" s="63"/>
      <c r="B44" s="51"/>
      <c r="C44" s="51"/>
      <c r="D44" s="51"/>
      <c r="E44" s="51"/>
      <c r="F44" s="51"/>
      <c r="G44" s="51"/>
      <c r="H44" s="51"/>
      <c r="I44" s="51"/>
      <c r="J44" s="51"/>
      <c r="K44" s="51"/>
      <c r="L44" s="51"/>
      <c r="M44" s="51"/>
      <c r="N44" s="51"/>
      <c r="O44" s="51"/>
      <c r="P44" s="51"/>
      <c r="Q44" s="51"/>
      <c r="R44" s="51"/>
      <c r="S44" s="63"/>
    </row>
    <row r="45" s="61" customFormat="1" customHeight="1" spans="1:19">
      <c r="A45" s="63"/>
      <c r="B45" s="51"/>
      <c r="C45" s="51"/>
      <c r="D45" s="51"/>
      <c r="E45" s="51"/>
      <c r="F45" s="51"/>
      <c r="G45" s="51"/>
      <c r="H45" s="51"/>
      <c r="I45" s="51"/>
      <c r="J45" s="51"/>
      <c r="K45" s="51"/>
      <c r="L45" s="51"/>
      <c r="M45" s="51"/>
      <c r="N45" s="51"/>
      <c r="O45" s="51"/>
      <c r="P45" s="51"/>
      <c r="Q45" s="51"/>
      <c r="R45" s="51"/>
      <c r="S45" s="63"/>
    </row>
    <row r="46" s="61" customFormat="1" customHeight="1" spans="1:19">
      <c r="A46" s="63"/>
      <c r="B46" s="51"/>
      <c r="C46" s="51"/>
      <c r="D46" s="51"/>
      <c r="E46" s="51"/>
      <c r="F46" s="51"/>
      <c r="G46" s="51"/>
      <c r="H46" s="51"/>
      <c r="I46" s="51"/>
      <c r="J46" s="51"/>
      <c r="K46" s="51"/>
      <c r="L46" s="51"/>
      <c r="M46" s="51"/>
      <c r="N46" s="51"/>
      <c r="O46" s="51"/>
      <c r="P46" s="51"/>
      <c r="Q46" s="51"/>
      <c r="R46" s="51"/>
      <c r="S46" s="63"/>
    </row>
    <row r="47" s="61" customFormat="1" customHeight="1" spans="1:19">
      <c r="A47" s="63"/>
      <c r="B47" s="51"/>
      <c r="C47" s="51"/>
      <c r="D47" s="51"/>
      <c r="E47" s="51"/>
      <c r="F47" s="51"/>
      <c r="G47" s="51"/>
      <c r="H47" s="51"/>
      <c r="I47" s="51"/>
      <c r="J47" s="51"/>
      <c r="K47" s="51"/>
      <c r="L47" s="51"/>
      <c r="M47" s="51"/>
      <c r="N47" s="51"/>
      <c r="O47" s="51"/>
      <c r="P47" s="51"/>
      <c r="Q47" s="51"/>
      <c r="R47" s="51"/>
      <c r="S47" s="63"/>
    </row>
    <row r="48" s="61" customFormat="1" customHeight="1" spans="1:19">
      <c r="A48" s="63"/>
      <c r="B48" s="51"/>
      <c r="C48" s="51"/>
      <c r="D48" s="51"/>
      <c r="E48" s="51"/>
      <c r="F48" s="51"/>
      <c r="G48" s="51"/>
      <c r="H48" s="51"/>
      <c r="I48" s="51"/>
      <c r="J48" s="51"/>
      <c r="K48" s="51"/>
      <c r="L48" s="51"/>
      <c r="M48" s="51"/>
      <c r="N48" s="51"/>
      <c r="O48" s="51"/>
      <c r="P48" s="51"/>
      <c r="Q48" s="51"/>
      <c r="R48" s="51"/>
      <c r="S48" s="63"/>
    </row>
    <row r="49" s="61" customFormat="1" customHeight="1" spans="1:19">
      <c r="A49" s="63"/>
      <c r="B49" s="51"/>
      <c r="C49" s="51"/>
      <c r="D49" s="51"/>
      <c r="E49" s="51"/>
      <c r="F49" s="51"/>
      <c r="G49" s="51"/>
      <c r="H49" s="51"/>
      <c r="I49" s="51"/>
      <c r="J49" s="51"/>
      <c r="K49" s="51"/>
      <c r="L49" s="51"/>
      <c r="M49" s="51"/>
      <c r="N49" s="51"/>
      <c r="O49" s="51"/>
      <c r="P49" s="51"/>
      <c r="Q49" s="51"/>
      <c r="R49" s="51"/>
      <c r="S49" s="63"/>
    </row>
    <row r="50" s="61" customFormat="1" customHeight="1" spans="1:19">
      <c r="A50" s="72"/>
      <c r="B50" s="72"/>
      <c r="C50" s="72"/>
      <c r="D50" s="72"/>
      <c r="E50" s="72"/>
      <c r="F50" s="72"/>
      <c r="G50" s="72"/>
      <c r="H50" s="72"/>
      <c r="I50" s="72"/>
      <c r="J50" s="72"/>
      <c r="K50" s="72"/>
      <c r="L50" s="72"/>
      <c r="M50" s="72"/>
      <c r="N50" s="72"/>
      <c r="O50" s="72"/>
      <c r="P50" s="72"/>
      <c r="Q50" s="64">
        <f>SUM(R38:R49)</f>
        <v>0</v>
      </c>
      <c r="R50" s="64"/>
      <c r="S50" s="63"/>
    </row>
    <row r="51" s="61" customFormat="1" customHeight="1" spans="1:19">
      <c r="A51" s="72"/>
      <c r="B51" s="69" t="s">
        <v>198</v>
      </c>
      <c r="C51" s="69"/>
      <c r="D51" s="69"/>
      <c r="E51" s="69"/>
      <c r="F51" s="69"/>
      <c r="G51" s="69"/>
      <c r="H51" s="69"/>
      <c r="I51" s="69"/>
      <c r="J51" s="69"/>
      <c r="K51" s="69"/>
      <c r="L51" s="69"/>
      <c r="M51" s="69"/>
      <c r="N51" s="69"/>
      <c r="O51" s="69"/>
      <c r="P51" s="69"/>
      <c r="Q51" s="69"/>
      <c r="R51" s="69"/>
      <c r="S51" s="72"/>
    </row>
    <row r="52" s="61" customFormat="1" customHeight="1" spans="1:19">
      <c r="A52" s="72"/>
      <c r="B52" s="70" t="s">
        <v>109</v>
      </c>
      <c r="C52" s="70"/>
      <c r="D52" s="70"/>
      <c r="E52" s="70"/>
      <c r="F52" s="67" t="s">
        <v>170</v>
      </c>
      <c r="G52" s="67"/>
      <c r="H52" s="67"/>
      <c r="I52" s="67"/>
      <c r="J52" s="67"/>
      <c r="K52" s="67"/>
      <c r="L52" s="67"/>
      <c r="M52" s="67"/>
      <c r="N52" s="67"/>
      <c r="O52" s="67" t="s">
        <v>199</v>
      </c>
      <c r="P52" s="67" t="s">
        <v>200</v>
      </c>
      <c r="Q52" s="67" t="s">
        <v>183</v>
      </c>
      <c r="R52" s="67" t="s">
        <v>36</v>
      </c>
      <c r="S52" s="72"/>
    </row>
    <row r="53" s="61" customFormat="1" customHeight="1" spans="1:19">
      <c r="A53" s="72"/>
      <c r="B53" s="73" t="s">
        <v>201</v>
      </c>
      <c r="C53" s="51"/>
      <c r="D53" s="51"/>
      <c r="E53" s="51"/>
      <c r="F53" s="54"/>
      <c r="G53" s="51"/>
      <c r="H53" s="51"/>
      <c r="I53" s="51"/>
      <c r="J53" s="51"/>
      <c r="K53" s="51"/>
      <c r="L53" s="51"/>
      <c r="M53" s="51"/>
      <c r="N53" s="51"/>
      <c r="O53" s="74"/>
      <c r="P53" s="74"/>
      <c r="Q53" s="74" t="str">
        <f t="shared" ref="Q53:Q67" si="0">IF(OR(ISBLANK(P53),ISBLANK(O53)),"",P53*O53)</f>
        <v/>
      </c>
      <c r="R53" s="51"/>
      <c r="S53" s="72"/>
    </row>
    <row r="54" s="61" customFormat="1" customHeight="1" spans="1:19">
      <c r="A54" s="72"/>
      <c r="B54" s="73"/>
      <c r="C54" s="51"/>
      <c r="D54" s="51"/>
      <c r="E54" s="51"/>
      <c r="F54" s="54"/>
      <c r="G54" s="51"/>
      <c r="H54" s="51"/>
      <c r="I54" s="51"/>
      <c r="J54" s="51"/>
      <c r="K54" s="51"/>
      <c r="L54" s="51"/>
      <c r="M54" s="51"/>
      <c r="N54" s="51"/>
      <c r="O54" s="74"/>
      <c r="P54" s="74"/>
      <c r="Q54" s="74" t="str">
        <f t="shared" si="0"/>
        <v/>
      </c>
      <c r="R54" s="51"/>
      <c r="S54" s="72"/>
    </row>
    <row r="55" s="61" customFormat="1" customHeight="1" spans="1:19">
      <c r="A55" s="72"/>
      <c r="B55" s="73"/>
      <c r="C55" s="51"/>
      <c r="D55" s="51"/>
      <c r="E55" s="51"/>
      <c r="F55" s="54"/>
      <c r="G55" s="51"/>
      <c r="H55" s="51"/>
      <c r="I55" s="51"/>
      <c r="J55" s="51"/>
      <c r="K55" s="51"/>
      <c r="L55" s="51"/>
      <c r="M55" s="51"/>
      <c r="N55" s="51"/>
      <c r="O55" s="74"/>
      <c r="P55" s="74"/>
      <c r="Q55" s="74" t="str">
        <f t="shared" si="0"/>
        <v/>
      </c>
      <c r="R55" s="51"/>
      <c r="S55" s="72"/>
    </row>
    <row r="56" s="61" customFormat="1" customHeight="1" spans="1:19">
      <c r="A56" s="72"/>
      <c r="B56" s="73"/>
      <c r="C56" s="51"/>
      <c r="D56" s="51"/>
      <c r="E56" s="51"/>
      <c r="F56" s="54"/>
      <c r="G56" s="51"/>
      <c r="H56" s="51"/>
      <c r="I56" s="51"/>
      <c r="J56" s="51"/>
      <c r="K56" s="51"/>
      <c r="L56" s="51"/>
      <c r="M56" s="51"/>
      <c r="N56" s="51"/>
      <c r="O56" s="74"/>
      <c r="P56" s="74"/>
      <c r="Q56" s="74" t="str">
        <f t="shared" si="0"/>
        <v/>
      </c>
      <c r="R56" s="51"/>
      <c r="S56" s="72"/>
    </row>
    <row r="57" s="61" customFormat="1" customHeight="1" spans="1:19">
      <c r="A57" s="72"/>
      <c r="B57" s="73"/>
      <c r="C57" s="51"/>
      <c r="D57" s="51"/>
      <c r="E57" s="51"/>
      <c r="F57" s="54"/>
      <c r="G57" s="51"/>
      <c r="H57" s="51"/>
      <c r="I57" s="51"/>
      <c r="J57" s="51"/>
      <c r="K57" s="51"/>
      <c r="L57" s="51"/>
      <c r="M57" s="51"/>
      <c r="N57" s="51"/>
      <c r="O57" s="74"/>
      <c r="P57" s="74"/>
      <c r="Q57" s="74" t="str">
        <f t="shared" si="0"/>
        <v/>
      </c>
      <c r="R57" s="51"/>
      <c r="S57" s="72"/>
    </row>
    <row r="58" s="61" customFormat="1" customHeight="1" spans="1:19">
      <c r="A58" s="72"/>
      <c r="B58" s="73"/>
      <c r="C58" s="51"/>
      <c r="D58" s="51"/>
      <c r="E58" s="51"/>
      <c r="F58" s="54"/>
      <c r="G58" s="51"/>
      <c r="H58" s="51"/>
      <c r="I58" s="51"/>
      <c r="J58" s="51"/>
      <c r="K58" s="51"/>
      <c r="L58" s="51"/>
      <c r="M58" s="51"/>
      <c r="N58" s="51"/>
      <c r="O58" s="74"/>
      <c r="P58" s="74"/>
      <c r="Q58" s="74" t="str">
        <f t="shared" si="0"/>
        <v/>
      </c>
      <c r="R58" s="51"/>
      <c r="S58" s="72"/>
    </row>
    <row r="59" s="61" customFormat="1" customHeight="1" spans="1:19">
      <c r="A59" s="72"/>
      <c r="B59" s="73"/>
      <c r="C59" s="51"/>
      <c r="D59" s="51"/>
      <c r="E59" s="51"/>
      <c r="F59" s="51"/>
      <c r="G59" s="51"/>
      <c r="H59" s="51"/>
      <c r="I59" s="51"/>
      <c r="J59" s="51"/>
      <c r="K59" s="51"/>
      <c r="L59" s="51"/>
      <c r="M59" s="51"/>
      <c r="N59" s="51"/>
      <c r="O59" s="74"/>
      <c r="P59" s="74"/>
      <c r="Q59" s="74" t="str">
        <f t="shared" si="0"/>
        <v/>
      </c>
      <c r="R59" s="51"/>
      <c r="S59" s="72"/>
    </row>
    <row r="60" s="61" customFormat="1" customHeight="1" spans="1:19">
      <c r="A60" s="72"/>
      <c r="B60" s="73"/>
      <c r="C60" s="51"/>
      <c r="D60" s="51"/>
      <c r="E60" s="51"/>
      <c r="F60" s="54"/>
      <c r="G60" s="51"/>
      <c r="H60" s="51"/>
      <c r="I60" s="51"/>
      <c r="J60" s="51"/>
      <c r="K60" s="51"/>
      <c r="L60" s="51"/>
      <c r="M60" s="51"/>
      <c r="N60" s="51"/>
      <c r="O60" s="74"/>
      <c r="P60" s="74"/>
      <c r="Q60" s="74" t="str">
        <f t="shared" si="0"/>
        <v/>
      </c>
      <c r="R60" s="51"/>
      <c r="S60" s="72"/>
    </row>
    <row r="61" s="61" customFormat="1" customHeight="1" spans="1:19">
      <c r="A61" s="72"/>
      <c r="B61" s="73"/>
      <c r="C61" s="51"/>
      <c r="D61" s="51"/>
      <c r="E61" s="51"/>
      <c r="F61" s="51"/>
      <c r="G61" s="51"/>
      <c r="H61" s="51"/>
      <c r="I61" s="51"/>
      <c r="J61" s="51"/>
      <c r="K61" s="51"/>
      <c r="L61" s="51"/>
      <c r="M61" s="51"/>
      <c r="N61" s="51"/>
      <c r="O61" s="74"/>
      <c r="P61" s="74"/>
      <c r="Q61" s="74" t="str">
        <f t="shared" si="0"/>
        <v/>
      </c>
      <c r="R61" s="51"/>
      <c r="S61" s="72"/>
    </row>
    <row r="62" s="61" customFormat="1" customHeight="1" spans="1:19">
      <c r="A62" s="72"/>
      <c r="B62" s="73"/>
      <c r="C62" s="51"/>
      <c r="D62" s="51"/>
      <c r="E62" s="51"/>
      <c r="F62" s="51"/>
      <c r="G62" s="51"/>
      <c r="H62" s="51"/>
      <c r="I62" s="51"/>
      <c r="J62" s="51"/>
      <c r="K62" s="51"/>
      <c r="L62" s="51"/>
      <c r="M62" s="51"/>
      <c r="N62" s="51"/>
      <c r="O62" s="74"/>
      <c r="P62" s="74"/>
      <c r="Q62" s="74" t="str">
        <f t="shared" si="0"/>
        <v/>
      </c>
      <c r="R62" s="51"/>
      <c r="S62" s="72"/>
    </row>
    <row r="63" s="61" customFormat="1" customHeight="1" spans="1:19">
      <c r="A63" s="72"/>
      <c r="B63" s="73"/>
      <c r="C63" s="51"/>
      <c r="D63" s="51"/>
      <c r="E63" s="51"/>
      <c r="F63" s="51"/>
      <c r="G63" s="51"/>
      <c r="H63" s="51"/>
      <c r="I63" s="51"/>
      <c r="J63" s="51"/>
      <c r="K63" s="51"/>
      <c r="L63" s="51"/>
      <c r="M63" s="51"/>
      <c r="N63" s="51"/>
      <c r="O63" s="74"/>
      <c r="P63" s="74"/>
      <c r="Q63" s="74" t="str">
        <f t="shared" si="0"/>
        <v/>
      </c>
      <c r="R63" s="51"/>
      <c r="S63" s="72"/>
    </row>
    <row r="64" s="61" customFormat="1" customHeight="1" spans="1:19">
      <c r="A64" s="72"/>
      <c r="B64" s="73"/>
      <c r="C64" s="51"/>
      <c r="D64" s="51"/>
      <c r="E64" s="51"/>
      <c r="F64" s="51"/>
      <c r="G64" s="51"/>
      <c r="H64" s="51"/>
      <c r="I64" s="51"/>
      <c r="J64" s="51"/>
      <c r="K64" s="51"/>
      <c r="L64" s="51"/>
      <c r="M64" s="51"/>
      <c r="N64" s="51"/>
      <c r="O64" s="74"/>
      <c r="P64" s="74"/>
      <c r="Q64" s="74" t="str">
        <f t="shared" si="0"/>
        <v/>
      </c>
      <c r="R64" s="51"/>
      <c r="S64" s="72"/>
    </row>
    <row r="65" s="61" customFormat="1" customHeight="1" spans="1:19">
      <c r="A65" s="72"/>
      <c r="B65" s="73"/>
      <c r="C65" s="51"/>
      <c r="D65" s="51"/>
      <c r="E65" s="51"/>
      <c r="F65" s="51"/>
      <c r="G65" s="51"/>
      <c r="H65" s="51"/>
      <c r="I65" s="51"/>
      <c r="J65" s="51"/>
      <c r="K65" s="51"/>
      <c r="L65" s="51"/>
      <c r="M65" s="51"/>
      <c r="N65" s="51"/>
      <c r="O65" s="74"/>
      <c r="P65" s="74"/>
      <c r="Q65" s="74" t="str">
        <f t="shared" si="0"/>
        <v/>
      </c>
      <c r="R65" s="51"/>
      <c r="S65" s="72"/>
    </row>
    <row r="66" s="61" customFormat="1" customHeight="1" spans="1:19">
      <c r="A66" s="72"/>
      <c r="B66" s="73"/>
      <c r="C66" s="51"/>
      <c r="D66" s="51"/>
      <c r="E66" s="51"/>
      <c r="F66" s="51"/>
      <c r="G66" s="51"/>
      <c r="H66" s="51"/>
      <c r="I66" s="51"/>
      <c r="J66" s="51"/>
      <c r="K66" s="51"/>
      <c r="L66" s="51"/>
      <c r="M66" s="51"/>
      <c r="N66" s="51"/>
      <c r="O66" s="74"/>
      <c r="P66" s="74"/>
      <c r="Q66" s="74" t="str">
        <f t="shared" si="0"/>
        <v/>
      </c>
      <c r="R66" s="51"/>
      <c r="S66" s="72"/>
    </row>
    <row r="67" s="61" customFormat="1" customHeight="1" spans="1:19">
      <c r="A67" s="72"/>
      <c r="B67" s="73"/>
      <c r="C67" s="51"/>
      <c r="D67" s="51"/>
      <c r="E67" s="51"/>
      <c r="F67" s="51"/>
      <c r="G67" s="51"/>
      <c r="H67" s="51"/>
      <c r="I67" s="51"/>
      <c r="J67" s="51"/>
      <c r="K67" s="51"/>
      <c r="L67" s="51"/>
      <c r="M67" s="51"/>
      <c r="N67" s="51"/>
      <c r="O67" s="74"/>
      <c r="P67" s="74"/>
      <c r="Q67" s="74" t="str">
        <f t="shared" si="0"/>
        <v/>
      </c>
      <c r="R67" s="51"/>
      <c r="S67" s="72"/>
    </row>
    <row r="68" s="61" customFormat="1" customHeight="1" spans="1:19">
      <c r="A68" s="72"/>
      <c r="B68" s="72"/>
      <c r="C68" s="72"/>
      <c r="D68" s="72"/>
      <c r="E68" s="72"/>
      <c r="F68" s="72"/>
      <c r="G68" s="72"/>
      <c r="H68" s="72"/>
      <c r="I68" s="72"/>
      <c r="J68" s="72"/>
      <c r="K68" s="72"/>
      <c r="L68" s="72"/>
      <c r="M68" s="72"/>
      <c r="N68" s="72"/>
      <c r="O68" s="72"/>
      <c r="P68" s="72"/>
      <c r="Q68" s="64">
        <f>SUM(R53:R67)</f>
        <v>0</v>
      </c>
      <c r="R68" s="64"/>
      <c r="S68" s="72"/>
    </row>
    <row r="69" s="61" customFormat="1" customHeight="1" spans="1:19">
      <c r="A69" s="72"/>
      <c r="B69" s="69" t="s">
        <v>202</v>
      </c>
      <c r="C69" s="69"/>
      <c r="D69" s="69"/>
      <c r="E69" s="69"/>
      <c r="F69" s="69"/>
      <c r="G69" s="69"/>
      <c r="H69" s="69"/>
      <c r="I69" s="69"/>
      <c r="J69" s="69"/>
      <c r="K69" s="69"/>
      <c r="L69" s="69"/>
      <c r="M69" s="69"/>
      <c r="N69" s="69"/>
      <c r="O69" s="69"/>
      <c r="P69" s="69"/>
      <c r="Q69" s="69"/>
      <c r="R69" s="69"/>
      <c r="S69" s="72"/>
    </row>
    <row r="70" s="61" customFormat="1" customHeight="1" spans="1:19">
      <c r="A70" s="72"/>
      <c r="B70" s="70" t="s">
        <v>203</v>
      </c>
      <c r="C70" s="70"/>
      <c r="D70" s="70"/>
      <c r="E70" s="70"/>
      <c r="F70" s="75" t="s">
        <v>30</v>
      </c>
      <c r="G70" s="75"/>
      <c r="H70" s="75" t="s">
        <v>31</v>
      </c>
      <c r="I70" s="70" t="s">
        <v>32</v>
      </c>
      <c r="J70" s="70" t="s">
        <v>34</v>
      </c>
      <c r="K70" s="70" t="s">
        <v>37</v>
      </c>
      <c r="L70" s="75" t="s">
        <v>38</v>
      </c>
      <c r="M70" s="70" t="s">
        <v>39</v>
      </c>
      <c r="N70" s="75" t="s">
        <v>33</v>
      </c>
      <c r="O70" s="75"/>
      <c r="P70" s="76"/>
      <c r="Q70" s="76"/>
      <c r="R70" s="76"/>
      <c r="S70" s="72"/>
    </row>
    <row r="71" s="61" customFormat="1" customHeight="1" spans="1:19">
      <c r="A71" s="72"/>
      <c r="B71" s="51"/>
      <c r="C71" s="51"/>
      <c r="D71" s="51"/>
      <c r="E71" s="51"/>
      <c r="F71" s="75" t="s">
        <v>204</v>
      </c>
      <c r="G71" s="75"/>
      <c r="H71" s="77"/>
      <c r="I71" s="78">
        <v>1</v>
      </c>
      <c r="J71" s="76"/>
      <c r="K71" s="78"/>
      <c r="L71" s="70">
        <f t="shared" ref="L71:L79" si="1">H71+J71-K71</f>
        <v>0</v>
      </c>
      <c r="M71" s="79">
        <f t="shared" ref="M71:M79" si="2">INT(L71/10)*I71</f>
        <v>0</v>
      </c>
      <c r="N71" s="51"/>
      <c r="O71" s="51"/>
      <c r="P71" s="51"/>
      <c r="Q71" s="51"/>
      <c r="R71" s="51"/>
      <c r="S71" s="72"/>
    </row>
    <row r="72" s="61" customFormat="1" customHeight="1" spans="1:19">
      <c r="A72" s="72"/>
      <c r="B72" s="70" t="s">
        <v>205</v>
      </c>
      <c r="C72" s="70"/>
      <c r="D72" s="70"/>
      <c r="E72" s="70"/>
      <c r="F72" s="75" t="s">
        <v>206</v>
      </c>
      <c r="G72" s="75"/>
      <c r="H72" s="77"/>
      <c r="I72" s="78">
        <v>1</v>
      </c>
      <c r="J72" s="76"/>
      <c r="K72" s="78"/>
      <c r="L72" s="70">
        <f t="shared" si="1"/>
        <v>0</v>
      </c>
      <c r="M72" s="79">
        <f t="shared" si="2"/>
        <v>0</v>
      </c>
      <c r="N72" s="51"/>
      <c r="O72" s="51"/>
      <c r="P72" s="51"/>
      <c r="Q72" s="51"/>
      <c r="R72" s="51"/>
      <c r="S72" s="72"/>
    </row>
    <row r="73" s="61" customFormat="1" customHeight="1" spans="1:19">
      <c r="A73" s="72"/>
      <c r="B73" s="51"/>
      <c r="C73" s="51"/>
      <c r="D73" s="51"/>
      <c r="E73" s="51"/>
      <c r="F73" s="75" t="s">
        <v>46</v>
      </c>
      <c r="G73" s="75"/>
      <c r="H73" s="77"/>
      <c r="I73" s="78">
        <v>1</v>
      </c>
      <c r="J73" s="76"/>
      <c r="K73" s="78"/>
      <c r="L73" s="70">
        <f t="shared" si="1"/>
        <v>0</v>
      </c>
      <c r="M73" s="79">
        <f t="shared" si="2"/>
        <v>0</v>
      </c>
      <c r="N73" s="51"/>
      <c r="O73" s="51"/>
      <c r="P73" s="51"/>
      <c r="Q73" s="51"/>
      <c r="R73" s="51"/>
      <c r="S73" s="72"/>
    </row>
    <row r="74" s="61" customFormat="1" customHeight="1" spans="1:19">
      <c r="A74" s="72"/>
      <c r="B74" s="70" t="s">
        <v>207</v>
      </c>
      <c r="C74" s="70"/>
      <c r="D74" s="70"/>
      <c r="E74" s="70"/>
      <c r="F74" s="75" t="s">
        <v>47</v>
      </c>
      <c r="G74" s="75"/>
      <c r="H74" s="77"/>
      <c r="I74" s="78">
        <v>1</v>
      </c>
      <c r="J74" s="76"/>
      <c r="K74" s="78"/>
      <c r="L74" s="70">
        <f t="shared" si="1"/>
        <v>0</v>
      </c>
      <c r="M74" s="79">
        <f t="shared" si="2"/>
        <v>0</v>
      </c>
      <c r="N74" s="51"/>
      <c r="O74" s="51"/>
      <c r="P74" s="51"/>
      <c r="Q74" s="51"/>
      <c r="R74" s="51"/>
      <c r="S74" s="72"/>
    </row>
    <row r="75" s="61" customFormat="1" customHeight="1" spans="1:19">
      <c r="A75" s="72"/>
      <c r="B75" s="51"/>
      <c r="C75" s="51"/>
      <c r="D75" s="51"/>
      <c r="E75" s="51"/>
      <c r="F75" s="75" t="s">
        <v>48</v>
      </c>
      <c r="G75" s="75"/>
      <c r="H75" s="77"/>
      <c r="I75" s="78">
        <v>1</v>
      </c>
      <c r="J75" s="76"/>
      <c r="K75" s="78"/>
      <c r="L75" s="70">
        <f t="shared" si="1"/>
        <v>0</v>
      </c>
      <c r="M75" s="79">
        <f t="shared" si="2"/>
        <v>0</v>
      </c>
      <c r="N75" s="51"/>
      <c r="O75" s="51"/>
      <c r="P75" s="51"/>
      <c r="Q75" s="51"/>
      <c r="R75" s="51"/>
      <c r="S75" s="72"/>
    </row>
    <row r="76" s="61" customFormat="1" customHeight="1" spans="1:19">
      <c r="A76" s="72"/>
      <c r="B76" s="51"/>
      <c r="C76" s="51"/>
      <c r="D76" s="51"/>
      <c r="E76" s="51"/>
      <c r="F76" s="75" t="s">
        <v>50</v>
      </c>
      <c r="G76" s="75"/>
      <c r="H76" s="77"/>
      <c r="I76" s="78">
        <v>1</v>
      </c>
      <c r="J76" s="76"/>
      <c r="K76" s="78"/>
      <c r="L76" s="70">
        <f t="shared" si="1"/>
        <v>0</v>
      </c>
      <c r="M76" s="79">
        <f t="shared" si="2"/>
        <v>0</v>
      </c>
      <c r="N76" s="51"/>
      <c r="O76" s="51"/>
      <c r="P76" s="51"/>
      <c r="Q76" s="51"/>
      <c r="R76" s="51"/>
      <c r="S76" s="72"/>
    </row>
    <row r="77" s="61" customFormat="1" customHeight="1" spans="1:19">
      <c r="A77" s="72"/>
      <c r="B77" s="51"/>
      <c r="C77" s="51"/>
      <c r="D77" s="51"/>
      <c r="E77" s="51"/>
      <c r="F77" s="75" t="s">
        <v>51</v>
      </c>
      <c r="G77" s="75"/>
      <c r="H77" s="77"/>
      <c r="I77" s="78">
        <v>1</v>
      </c>
      <c r="J77" s="76"/>
      <c r="K77" s="78"/>
      <c r="L77" s="70">
        <f t="shared" si="1"/>
        <v>0</v>
      </c>
      <c r="M77" s="79">
        <f t="shared" si="2"/>
        <v>0</v>
      </c>
      <c r="N77" s="51"/>
      <c r="O77" s="51"/>
      <c r="P77" s="51"/>
      <c r="Q77" s="51"/>
      <c r="R77" s="51"/>
      <c r="S77" s="72"/>
    </row>
    <row r="78" s="61" customFormat="1" customHeight="1" spans="1:19">
      <c r="A78" s="72"/>
      <c r="B78" s="51"/>
      <c r="C78" s="51"/>
      <c r="D78" s="51"/>
      <c r="E78" s="51"/>
      <c r="F78" s="75" t="s">
        <v>52</v>
      </c>
      <c r="G78" s="75"/>
      <c r="H78" s="77"/>
      <c r="I78" s="78">
        <v>1</v>
      </c>
      <c r="J78" s="76"/>
      <c r="K78" s="78"/>
      <c r="L78" s="70">
        <f t="shared" si="1"/>
        <v>0</v>
      </c>
      <c r="M78" s="79">
        <f t="shared" si="2"/>
        <v>0</v>
      </c>
      <c r="N78" s="51"/>
      <c r="O78" s="51"/>
      <c r="P78" s="51"/>
      <c r="Q78" s="51"/>
      <c r="R78" s="51"/>
      <c r="S78" s="72"/>
    </row>
    <row r="79" s="61" customFormat="1" customHeight="1" spans="1:19">
      <c r="A79" s="72"/>
      <c r="B79" s="51"/>
      <c r="C79" s="51"/>
      <c r="D79" s="51"/>
      <c r="E79" s="51"/>
      <c r="F79" s="75" t="s">
        <v>53</v>
      </c>
      <c r="G79" s="75"/>
      <c r="H79" s="77"/>
      <c r="I79" s="78">
        <v>1</v>
      </c>
      <c r="J79" s="76"/>
      <c r="K79" s="78"/>
      <c r="L79" s="70">
        <f t="shared" si="1"/>
        <v>0</v>
      </c>
      <c r="M79" s="79">
        <f t="shared" si="2"/>
        <v>0</v>
      </c>
      <c r="N79" s="51"/>
      <c r="O79" s="51"/>
      <c r="P79" s="51"/>
      <c r="Q79" s="51"/>
      <c r="R79" s="51"/>
      <c r="S79" s="72"/>
    </row>
    <row r="80" s="61" customFormat="1" customHeight="1" spans="1:19">
      <c r="A80" s="72"/>
      <c r="B80" s="51"/>
      <c r="C80" s="51"/>
      <c r="D80" s="51"/>
      <c r="E80" s="51"/>
      <c r="F80" s="65" t="s">
        <v>78</v>
      </c>
      <c r="G80" s="65"/>
      <c r="H80" s="76"/>
      <c r="I80" s="76"/>
      <c r="J80" s="76"/>
      <c r="K80" s="65" t="s">
        <v>208</v>
      </c>
      <c r="L80" s="65"/>
      <c r="M80" s="76"/>
      <c r="N80" s="76"/>
      <c r="O80" s="65" t="s">
        <v>56</v>
      </c>
      <c r="P80" s="65"/>
      <c r="Q80" s="76"/>
      <c r="R80" s="76"/>
      <c r="S80" s="72"/>
    </row>
    <row r="81" s="61" customFormat="1" customHeight="1" spans="1:19">
      <c r="A81" s="72"/>
      <c r="B81" s="67" t="s">
        <v>105</v>
      </c>
      <c r="C81" s="67"/>
      <c r="D81" s="80"/>
      <c r="E81" s="74"/>
      <c r="F81" s="74"/>
      <c r="G81" s="74"/>
      <c r="H81" s="74"/>
      <c r="I81" s="74"/>
      <c r="J81" s="74"/>
      <c r="K81" s="74"/>
      <c r="L81" s="74"/>
      <c r="M81" s="74"/>
      <c r="N81" s="74"/>
      <c r="O81" s="74"/>
      <c r="P81" s="74"/>
      <c r="Q81" s="74"/>
      <c r="R81" s="74"/>
      <c r="S81" s="72"/>
    </row>
    <row r="82" s="61" customFormat="1" customHeight="1" spans="1:19">
      <c r="A82" s="72"/>
      <c r="B82" s="67"/>
      <c r="C82" s="67"/>
      <c r="D82" s="74"/>
      <c r="E82" s="74"/>
      <c r="F82" s="74"/>
      <c r="G82" s="74"/>
      <c r="H82" s="74"/>
      <c r="I82" s="74"/>
      <c r="J82" s="74"/>
      <c r="K82" s="74"/>
      <c r="L82" s="74"/>
      <c r="M82" s="74"/>
      <c r="N82" s="74"/>
      <c r="O82" s="74"/>
      <c r="P82" s="74"/>
      <c r="Q82" s="74"/>
      <c r="R82" s="74"/>
      <c r="S82" s="72"/>
    </row>
    <row r="83" s="61" customFormat="1" customHeight="1" spans="1:19">
      <c r="A83" s="72"/>
      <c r="B83" s="67" t="s">
        <v>106</v>
      </c>
      <c r="C83" s="67"/>
      <c r="D83" s="74"/>
      <c r="E83" s="74"/>
      <c r="F83" s="74"/>
      <c r="G83" s="74"/>
      <c r="H83" s="74"/>
      <c r="I83" s="74"/>
      <c r="J83" s="74"/>
      <c r="K83" s="74"/>
      <c r="L83" s="74"/>
      <c r="M83" s="74"/>
      <c r="N83" s="74"/>
      <c r="O83" s="74"/>
      <c r="P83" s="74"/>
      <c r="Q83" s="74"/>
      <c r="R83" s="74"/>
      <c r="S83" s="72"/>
    </row>
    <row r="84" s="61" customFormat="1" customHeight="1" spans="1:19">
      <c r="A84" s="72"/>
      <c r="B84" s="67"/>
      <c r="C84" s="67"/>
      <c r="D84" s="74"/>
      <c r="E84" s="74"/>
      <c r="F84" s="74"/>
      <c r="G84" s="74"/>
      <c r="H84" s="74"/>
      <c r="I84" s="74"/>
      <c r="J84" s="74"/>
      <c r="K84" s="74"/>
      <c r="L84" s="74"/>
      <c r="M84" s="74"/>
      <c r="N84" s="74"/>
      <c r="O84" s="74"/>
      <c r="P84" s="74"/>
      <c r="Q84" s="74"/>
      <c r="R84" s="74"/>
      <c r="S84" s="72"/>
    </row>
    <row r="85" s="61" customFormat="1" customHeight="1" spans="1:19">
      <c r="A85" s="72"/>
      <c r="B85" s="67" t="s">
        <v>182</v>
      </c>
      <c r="C85" s="67"/>
      <c r="D85" s="80"/>
      <c r="E85" s="80"/>
      <c r="F85" s="80"/>
      <c r="G85" s="80"/>
      <c r="H85" s="80"/>
      <c r="I85" s="80"/>
      <c r="J85" s="80"/>
      <c r="K85" s="80"/>
      <c r="L85" s="80"/>
      <c r="M85" s="80"/>
      <c r="N85" s="80"/>
      <c r="O85" s="80"/>
      <c r="P85" s="80"/>
      <c r="Q85" s="80"/>
      <c r="R85" s="80"/>
      <c r="S85" s="72"/>
    </row>
    <row r="86" s="61" customFormat="1" customHeight="1" spans="1:19">
      <c r="A86" s="72"/>
      <c r="B86" s="67"/>
      <c r="C86" s="67"/>
      <c r="D86" s="80"/>
      <c r="E86" s="80"/>
      <c r="F86" s="80"/>
      <c r="G86" s="80"/>
      <c r="H86" s="80"/>
      <c r="I86" s="80"/>
      <c r="J86" s="80"/>
      <c r="K86" s="80"/>
      <c r="L86" s="80"/>
      <c r="M86" s="80"/>
      <c r="N86" s="80"/>
      <c r="O86" s="80"/>
      <c r="P86" s="80"/>
      <c r="Q86" s="80"/>
      <c r="R86" s="80"/>
      <c r="S86" s="72"/>
    </row>
    <row r="87" s="61" customFormat="1" customHeight="1" spans="1:19">
      <c r="A87" s="72"/>
      <c r="B87" s="67" t="s">
        <v>209</v>
      </c>
      <c r="C87" s="67"/>
      <c r="D87" s="80"/>
      <c r="E87" s="80"/>
      <c r="F87" s="80"/>
      <c r="G87" s="80"/>
      <c r="H87" s="80"/>
      <c r="I87" s="80"/>
      <c r="J87" s="80"/>
      <c r="K87" s="80"/>
      <c r="L87" s="80"/>
      <c r="M87" s="80"/>
      <c r="N87" s="80"/>
      <c r="O87" s="80"/>
      <c r="P87" s="80"/>
      <c r="Q87" s="80"/>
      <c r="R87" s="80"/>
      <c r="S87" s="72"/>
    </row>
    <row r="88" s="61" customFormat="1" customHeight="1" spans="1:19">
      <c r="A88" s="72"/>
      <c r="B88" s="67"/>
      <c r="C88" s="67"/>
      <c r="D88" s="80"/>
      <c r="E88" s="80"/>
      <c r="F88" s="80"/>
      <c r="G88" s="80"/>
      <c r="H88" s="80"/>
      <c r="I88" s="80"/>
      <c r="J88" s="80"/>
      <c r="K88" s="80"/>
      <c r="L88" s="80"/>
      <c r="M88" s="80"/>
      <c r="N88" s="80"/>
      <c r="O88" s="80"/>
      <c r="P88" s="80"/>
      <c r="Q88" s="80"/>
      <c r="R88" s="80"/>
      <c r="S88" s="72"/>
    </row>
    <row r="89" s="61" customFormat="1" customHeight="1" spans="1:19">
      <c r="A89" s="72"/>
      <c r="B89" s="67" t="s">
        <v>156</v>
      </c>
      <c r="C89" s="67"/>
      <c r="D89" s="67"/>
      <c r="E89" s="67"/>
      <c r="F89" s="67"/>
      <c r="G89" s="67"/>
      <c r="H89" s="67"/>
      <c r="I89" s="67"/>
      <c r="J89" s="67"/>
      <c r="K89" s="67"/>
      <c r="L89" s="67"/>
      <c r="M89" s="67"/>
      <c r="N89" s="67"/>
      <c r="O89" s="67"/>
      <c r="P89" s="67"/>
      <c r="Q89" s="67"/>
      <c r="R89" s="67"/>
      <c r="S89" s="72"/>
    </row>
    <row r="90" s="61" customFormat="1" customHeight="1" spans="1:19">
      <c r="A90" s="72"/>
      <c r="B90" s="51"/>
      <c r="C90" s="51"/>
      <c r="D90" s="51"/>
      <c r="E90" s="51"/>
      <c r="F90" s="51"/>
      <c r="G90" s="51"/>
      <c r="H90" s="51"/>
      <c r="I90" s="51"/>
      <c r="J90" s="51"/>
      <c r="K90" s="51"/>
      <c r="L90" s="51"/>
      <c r="M90" s="51"/>
      <c r="N90" s="51"/>
      <c r="O90" s="51"/>
      <c r="P90" s="51"/>
      <c r="Q90" s="51"/>
      <c r="R90" s="51"/>
      <c r="S90" s="72"/>
    </row>
    <row r="91" s="61" customFormat="1" customHeight="1" spans="1:19">
      <c r="A91" s="72"/>
      <c r="B91" s="51"/>
      <c r="C91" s="51"/>
      <c r="D91" s="51"/>
      <c r="E91" s="51"/>
      <c r="F91" s="51"/>
      <c r="G91" s="51"/>
      <c r="H91" s="51"/>
      <c r="I91" s="51"/>
      <c r="J91" s="51"/>
      <c r="K91" s="51"/>
      <c r="L91" s="51"/>
      <c r="M91" s="51"/>
      <c r="N91" s="51"/>
      <c r="O91" s="51"/>
      <c r="P91" s="51"/>
      <c r="Q91" s="51"/>
      <c r="R91" s="51"/>
      <c r="S91" s="72"/>
    </row>
    <row r="92" s="61" customFormat="1" customHeight="1" spans="1:19">
      <c r="A92" s="72"/>
      <c r="B92" s="72"/>
      <c r="C92" s="72"/>
      <c r="D92" s="72"/>
      <c r="E92" s="72"/>
      <c r="F92" s="72"/>
      <c r="G92" s="72"/>
      <c r="H92" s="72"/>
      <c r="I92" s="72"/>
      <c r="J92" s="72"/>
      <c r="K92" s="72"/>
      <c r="L92" s="72"/>
      <c r="M92" s="72"/>
      <c r="N92" s="72"/>
      <c r="O92" s="72"/>
      <c r="P92" s="72"/>
      <c r="Q92" s="72"/>
      <c r="R92" s="72"/>
      <c r="S92" s="72"/>
    </row>
    <row r="93" s="61" customFormat="1" customHeight="1" spans="1:19">
      <c r="A93" s="72"/>
      <c r="B93" s="69" t="s">
        <v>210</v>
      </c>
      <c r="C93" s="69"/>
      <c r="D93" s="69"/>
      <c r="E93" s="69"/>
      <c r="F93" s="69"/>
      <c r="G93" s="69"/>
      <c r="H93" s="69"/>
      <c r="I93" s="69"/>
      <c r="J93" s="69"/>
      <c r="K93" s="69"/>
      <c r="L93" s="69"/>
      <c r="M93" s="69"/>
      <c r="N93" s="69"/>
      <c r="O93" s="69"/>
      <c r="P93" s="69"/>
      <c r="Q93" s="69"/>
      <c r="R93" s="69"/>
      <c r="S93" s="72"/>
    </row>
    <row r="94" s="61" customFormat="1" customHeight="1" spans="1:19">
      <c r="A94" s="72"/>
      <c r="B94" s="70" t="s">
        <v>109</v>
      </c>
      <c r="C94" s="70"/>
      <c r="D94" s="70"/>
      <c r="E94" s="70"/>
      <c r="F94" s="67" t="s">
        <v>166</v>
      </c>
      <c r="G94" s="67"/>
      <c r="H94" s="67"/>
      <c r="I94" s="67"/>
      <c r="J94" s="67"/>
      <c r="K94" s="67"/>
      <c r="L94" s="67"/>
      <c r="M94" s="67"/>
      <c r="N94" s="67"/>
      <c r="O94" s="67"/>
      <c r="P94" s="67"/>
      <c r="Q94" s="67"/>
      <c r="R94" s="67"/>
      <c r="S94" s="72"/>
    </row>
    <row r="95" s="61" customFormat="1" customHeight="1" spans="1:19">
      <c r="A95" s="72"/>
      <c r="B95" s="51"/>
      <c r="C95" s="51"/>
      <c r="D95" s="51"/>
      <c r="E95" s="51"/>
      <c r="F95" s="51"/>
      <c r="G95" s="51"/>
      <c r="H95" s="51"/>
      <c r="I95" s="51"/>
      <c r="J95" s="51"/>
      <c r="K95" s="51"/>
      <c r="L95" s="51"/>
      <c r="M95" s="51"/>
      <c r="N95" s="51"/>
      <c r="O95" s="51"/>
      <c r="P95" s="51"/>
      <c r="Q95" s="51"/>
      <c r="R95" s="51"/>
      <c r="S95" s="72"/>
    </row>
    <row r="96" s="61" customFormat="1" customHeight="1" spans="1:19">
      <c r="A96" s="72"/>
      <c r="B96" s="51"/>
      <c r="C96" s="51"/>
      <c r="D96" s="51"/>
      <c r="E96" s="51"/>
      <c r="F96" s="51"/>
      <c r="G96" s="51"/>
      <c r="H96" s="51"/>
      <c r="I96" s="51"/>
      <c r="J96" s="51"/>
      <c r="K96" s="51"/>
      <c r="L96" s="51"/>
      <c r="M96" s="51"/>
      <c r="N96" s="51"/>
      <c r="O96" s="51"/>
      <c r="P96" s="51"/>
      <c r="Q96" s="51"/>
      <c r="R96" s="51"/>
      <c r="S96" s="72"/>
    </row>
    <row r="97" s="61" customFormat="1" customHeight="1" spans="1:19">
      <c r="A97" s="72"/>
      <c r="B97" s="51"/>
      <c r="C97" s="51"/>
      <c r="D97" s="51"/>
      <c r="E97" s="51"/>
      <c r="F97" s="51"/>
      <c r="G97" s="51"/>
      <c r="H97" s="51"/>
      <c r="I97" s="51"/>
      <c r="J97" s="51"/>
      <c r="K97" s="51"/>
      <c r="L97" s="51"/>
      <c r="M97" s="51"/>
      <c r="N97" s="51"/>
      <c r="O97" s="51"/>
      <c r="P97" s="51"/>
      <c r="Q97" s="51"/>
      <c r="R97" s="51"/>
      <c r="S97" s="72"/>
    </row>
    <row r="98" s="61" customFormat="1" customHeight="1" spans="1:19">
      <c r="A98" s="72"/>
      <c r="B98" s="51"/>
      <c r="C98" s="51"/>
      <c r="D98" s="51"/>
      <c r="E98" s="51"/>
      <c r="F98" s="51"/>
      <c r="G98" s="51"/>
      <c r="H98" s="51"/>
      <c r="I98" s="51"/>
      <c r="J98" s="51"/>
      <c r="K98" s="51"/>
      <c r="L98" s="51"/>
      <c r="M98" s="51"/>
      <c r="N98" s="51"/>
      <c r="O98" s="51"/>
      <c r="P98" s="51"/>
      <c r="Q98" s="51"/>
      <c r="R98" s="51"/>
      <c r="S98" s="72"/>
    </row>
    <row r="99" s="61" customFormat="1" customHeight="1" spans="1:19">
      <c r="A99" s="72"/>
      <c r="B99" s="51"/>
      <c r="C99" s="51"/>
      <c r="D99" s="51"/>
      <c r="E99" s="51"/>
      <c r="F99" s="51"/>
      <c r="G99" s="51"/>
      <c r="H99" s="51"/>
      <c r="I99" s="51"/>
      <c r="J99" s="51"/>
      <c r="K99" s="51"/>
      <c r="L99" s="51"/>
      <c r="M99" s="51"/>
      <c r="N99" s="51"/>
      <c r="O99" s="51"/>
      <c r="P99" s="51"/>
      <c r="Q99" s="51"/>
      <c r="R99" s="51"/>
      <c r="S99" s="72"/>
    </row>
    <row r="100" s="61" customFormat="1" customHeight="1" spans="1:19">
      <c r="A100" s="72"/>
      <c r="B100" s="51"/>
      <c r="C100" s="51"/>
      <c r="D100" s="51"/>
      <c r="E100" s="51"/>
      <c r="F100" s="51"/>
      <c r="G100" s="51"/>
      <c r="H100" s="51"/>
      <c r="I100" s="51"/>
      <c r="J100" s="51"/>
      <c r="K100" s="51"/>
      <c r="L100" s="51"/>
      <c r="M100" s="51"/>
      <c r="N100" s="51"/>
      <c r="O100" s="51"/>
      <c r="P100" s="51"/>
      <c r="Q100" s="51"/>
      <c r="R100" s="51"/>
      <c r="S100" s="72"/>
    </row>
    <row r="101" s="61" customFormat="1" customHeight="1" spans="1:19">
      <c r="A101" s="72"/>
      <c r="B101" s="51"/>
      <c r="C101" s="51"/>
      <c r="D101" s="51"/>
      <c r="E101" s="51"/>
      <c r="F101" s="51"/>
      <c r="G101" s="51"/>
      <c r="H101" s="51"/>
      <c r="I101" s="51"/>
      <c r="J101" s="51"/>
      <c r="K101" s="51"/>
      <c r="L101" s="51"/>
      <c r="M101" s="51"/>
      <c r="N101" s="51"/>
      <c r="O101" s="51"/>
      <c r="P101" s="51"/>
      <c r="Q101" s="51"/>
      <c r="R101" s="51"/>
      <c r="S101" s="72"/>
    </row>
    <row r="102" s="61" customFormat="1" customHeight="1" spans="1:19">
      <c r="A102" s="72"/>
      <c r="B102" s="51"/>
      <c r="C102" s="51"/>
      <c r="D102" s="51"/>
      <c r="E102" s="51"/>
      <c r="F102" s="51"/>
      <c r="G102" s="51"/>
      <c r="H102" s="51"/>
      <c r="I102" s="51"/>
      <c r="J102" s="51"/>
      <c r="K102" s="51"/>
      <c r="L102" s="51"/>
      <c r="M102" s="51"/>
      <c r="N102" s="51"/>
      <c r="O102" s="51"/>
      <c r="P102" s="51"/>
      <c r="Q102" s="51"/>
      <c r="R102" s="51"/>
      <c r="S102" s="72"/>
    </row>
    <row r="103" s="61" customFormat="1" customHeight="1" spans="1:19">
      <c r="A103" s="72"/>
      <c r="B103" s="51"/>
      <c r="C103" s="51"/>
      <c r="D103" s="51"/>
      <c r="E103" s="51"/>
      <c r="F103" s="51"/>
      <c r="G103" s="51"/>
      <c r="H103" s="51"/>
      <c r="I103" s="51"/>
      <c r="J103" s="51"/>
      <c r="K103" s="51"/>
      <c r="L103" s="51"/>
      <c r="M103" s="51"/>
      <c r="N103" s="51"/>
      <c r="O103" s="51"/>
      <c r="P103" s="51"/>
      <c r="Q103" s="51"/>
      <c r="R103" s="51"/>
      <c r="S103" s="72"/>
    </row>
    <row r="104" s="61" customFormat="1" customHeight="1" spans="1:19">
      <c r="A104" s="72"/>
      <c r="B104" s="51"/>
      <c r="C104" s="51"/>
      <c r="D104" s="51"/>
      <c r="E104" s="51"/>
      <c r="F104" s="51"/>
      <c r="G104" s="51"/>
      <c r="H104" s="51"/>
      <c r="I104" s="51"/>
      <c r="J104" s="51"/>
      <c r="K104" s="51"/>
      <c r="L104" s="51"/>
      <c r="M104" s="51"/>
      <c r="N104" s="51"/>
      <c r="O104" s="51"/>
      <c r="P104" s="51"/>
      <c r="Q104" s="51"/>
      <c r="R104" s="51"/>
      <c r="S104" s="72"/>
    </row>
    <row r="105" s="61" customFormat="1" customHeight="1" spans="1:19">
      <c r="A105" s="72"/>
      <c r="B105" s="72"/>
      <c r="C105" s="72"/>
      <c r="D105" s="72"/>
      <c r="E105" s="72"/>
      <c r="F105" s="72"/>
      <c r="G105" s="72"/>
      <c r="H105" s="72"/>
      <c r="I105" s="72"/>
      <c r="J105" s="72"/>
      <c r="K105" s="72"/>
      <c r="L105" s="72"/>
      <c r="M105" s="72"/>
      <c r="N105" s="72"/>
      <c r="O105" s="72"/>
      <c r="P105" s="72"/>
      <c r="Q105" s="72"/>
      <c r="R105" s="72"/>
      <c r="S105" s="72"/>
    </row>
    <row r="106" s="61" customFormat="1" customHeight="1" spans="1:19">
      <c r="A106" s="72"/>
      <c r="B106" s="69" t="s">
        <v>211</v>
      </c>
      <c r="C106" s="69"/>
      <c r="D106" s="69"/>
      <c r="E106" s="69"/>
      <c r="F106" s="69"/>
      <c r="G106" s="69"/>
      <c r="H106" s="69"/>
      <c r="I106" s="69"/>
      <c r="J106" s="69"/>
      <c r="K106" s="69"/>
      <c r="L106" s="69"/>
      <c r="M106" s="69"/>
      <c r="N106" s="69"/>
      <c r="O106" s="69"/>
      <c r="P106" s="69"/>
      <c r="Q106" s="69"/>
      <c r="R106" s="69"/>
      <c r="S106" s="72"/>
    </row>
    <row r="107" s="61" customFormat="1" customHeight="1" spans="1:19">
      <c r="A107" s="72"/>
      <c r="B107" s="67" t="s">
        <v>170</v>
      </c>
      <c r="C107" s="67"/>
      <c r="D107" s="67"/>
      <c r="E107" s="67"/>
      <c r="F107" s="67"/>
      <c r="G107" s="67"/>
      <c r="H107" s="67"/>
      <c r="I107" s="67"/>
      <c r="J107" s="67"/>
      <c r="K107" s="67"/>
      <c r="L107" s="67"/>
      <c r="M107" s="67"/>
      <c r="N107" s="67"/>
      <c r="O107" s="67"/>
      <c r="P107" s="67"/>
      <c r="Q107" s="67"/>
      <c r="R107" s="67" t="s">
        <v>36</v>
      </c>
      <c r="S107" s="72"/>
    </row>
    <row r="108" s="61" customFormat="1" customHeight="1" spans="1:19">
      <c r="A108" s="72"/>
      <c r="B108" s="51"/>
      <c r="C108" s="51"/>
      <c r="D108" s="51"/>
      <c r="E108" s="51"/>
      <c r="F108" s="51"/>
      <c r="G108" s="51"/>
      <c r="H108" s="51"/>
      <c r="I108" s="51"/>
      <c r="J108" s="51"/>
      <c r="K108" s="51"/>
      <c r="L108" s="51"/>
      <c r="M108" s="51"/>
      <c r="N108" s="51"/>
      <c r="O108" s="51"/>
      <c r="P108" s="51"/>
      <c r="Q108" s="51"/>
      <c r="R108" s="51"/>
      <c r="S108" s="72"/>
    </row>
    <row r="109" s="61" customFormat="1" customHeight="1" spans="1:19">
      <c r="A109" s="72"/>
      <c r="B109" s="51"/>
      <c r="C109" s="51"/>
      <c r="D109" s="51"/>
      <c r="E109" s="51"/>
      <c r="F109" s="51"/>
      <c r="G109" s="51"/>
      <c r="H109" s="51"/>
      <c r="I109" s="51"/>
      <c r="J109" s="51"/>
      <c r="K109" s="51"/>
      <c r="L109" s="51"/>
      <c r="M109" s="51"/>
      <c r="N109" s="51"/>
      <c r="O109" s="51"/>
      <c r="P109" s="51"/>
      <c r="Q109" s="51"/>
      <c r="R109" s="51"/>
      <c r="S109" s="72"/>
    </row>
    <row r="110" s="61" customFormat="1" customHeight="1" spans="1:19">
      <c r="A110" s="72"/>
      <c r="B110" s="51"/>
      <c r="C110" s="51"/>
      <c r="D110" s="51"/>
      <c r="E110" s="51"/>
      <c r="F110" s="51"/>
      <c r="G110" s="51"/>
      <c r="H110" s="51"/>
      <c r="I110" s="51"/>
      <c r="J110" s="51"/>
      <c r="K110" s="51"/>
      <c r="L110" s="51"/>
      <c r="M110" s="51"/>
      <c r="N110" s="51"/>
      <c r="O110" s="51"/>
      <c r="P110" s="51"/>
      <c r="Q110" s="51"/>
      <c r="R110" s="51"/>
      <c r="S110" s="72"/>
    </row>
    <row r="111" s="61" customFormat="1" customHeight="1" spans="1:19">
      <c r="A111" s="72"/>
      <c r="B111" s="51"/>
      <c r="C111" s="51"/>
      <c r="D111" s="51"/>
      <c r="E111" s="51"/>
      <c r="F111" s="51"/>
      <c r="G111" s="51"/>
      <c r="H111" s="51"/>
      <c r="I111" s="51"/>
      <c r="J111" s="51"/>
      <c r="K111" s="51"/>
      <c r="L111" s="51"/>
      <c r="M111" s="51"/>
      <c r="N111" s="51"/>
      <c r="O111" s="51"/>
      <c r="P111" s="51"/>
      <c r="Q111" s="51"/>
      <c r="R111" s="51"/>
      <c r="S111" s="72"/>
    </row>
    <row r="112" s="61" customFormat="1" customHeight="1" spans="1:19">
      <c r="A112" s="72"/>
      <c r="B112" s="51"/>
      <c r="C112" s="51"/>
      <c r="D112" s="51"/>
      <c r="E112" s="51"/>
      <c r="F112" s="51"/>
      <c r="G112" s="51"/>
      <c r="H112" s="51"/>
      <c r="I112" s="51"/>
      <c r="J112" s="51"/>
      <c r="K112" s="51"/>
      <c r="L112" s="51"/>
      <c r="M112" s="51"/>
      <c r="N112" s="51"/>
      <c r="O112" s="51"/>
      <c r="P112" s="51"/>
      <c r="Q112" s="51"/>
      <c r="R112" s="51"/>
      <c r="S112" s="72"/>
    </row>
    <row r="113" s="61" customFormat="1" customHeight="1" spans="1:19">
      <c r="A113" s="72"/>
      <c r="B113" s="51"/>
      <c r="C113" s="51"/>
      <c r="D113" s="51"/>
      <c r="E113" s="51"/>
      <c r="F113" s="51"/>
      <c r="G113" s="51"/>
      <c r="H113" s="51"/>
      <c r="I113" s="51"/>
      <c r="J113" s="51"/>
      <c r="K113" s="51"/>
      <c r="L113" s="51"/>
      <c r="M113" s="51"/>
      <c r="N113" s="51"/>
      <c r="O113" s="51"/>
      <c r="P113" s="51"/>
      <c r="Q113" s="51"/>
      <c r="R113" s="51"/>
      <c r="S113" s="72"/>
    </row>
    <row r="114" s="61" customFormat="1" customHeight="1" spans="1:19">
      <c r="A114" s="72"/>
      <c r="B114" s="51"/>
      <c r="C114" s="51"/>
      <c r="D114" s="51"/>
      <c r="E114" s="51"/>
      <c r="F114" s="51"/>
      <c r="G114" s="51"/>
      <c r="H114" s="51"/>
      <c r="I114" s="51"/>
      <c r="J114" s="51"/>
      <c r="K114" s="51"/>
      <c r="L114" s="51"/>
      <c r="M114" s="51"/>
      <c r="N114" s="51"/>
      <c r="O114" s="51"/>
      <c r="P114" s="51"/>
      <c r="Q114" s="51"/>
      <c r="R114" s="51"/>
      <c r="S114" s="72"/>
    </row>
    <row r="115" s="61" customFormat="1" customHeight="1" spans="1:19">
      <c r="A115" s="72"/>
      <c r="B115" s="72"/>
      <c r="C115" s="72"/>
      <c r="D115" s="72"/>
      <c r="E115" s="72"/>
      <c r="F115" s="72"/>
      <c r="G115" s="72"/>
      <c r="H115" s="72"/>
      <c r="I115" s="72"/>
      <c r="J115" s="72"/>
      <c r="K115" s="72"/>
      <c r="L115" s="72"/>
      <c r="M115" s="72"/>
      <c r="N115" s="72"/>
      <c r="O115" s="64" t="s">
        <v>212</v>
      </c>
      <c r="P115" s="64"/>
      <c r="Q115" s="64">
        <f>SUM(R108:R114)+Q68+Q50+Q35+Q30</f>
        <v>0</v>
      </c>
      <c r="R115" s="64"/>
      <c r="S115" s="72"/>
    </row>
  </sheetData>
  <mergeCells count="202">
    <mergeCell ref="B1:R1"/>
    <mergeCell ref="B2:R2"/>
    <mergeCell ref="B3:C3"/>
    <mergeCell ref="D3:I3"/>
    <mergeCell ref="K3:P3"/>
    <mergeCell ref="B4:C4"/>
    <mergeCell ref="D4:I4"/>
    <mergeCell ref="K4:P4"/>
    <mergeCell ref="B5:R5"/>
    <mergeCell ref="B8:R8"/>
    <mergeCell ref="B11:R11"/>
    <mergeCell ref="B12:R12"/>
    <mergeCell ref="B13:C13"/>
    <mergeCell ref="D13:E13"/>
    <mergeCell ref="F13:H13"/>
    <mergeCell ref="J13:P13"/>
    <mergeCell ref="B14:C14"/>
    <mergeCell ref="D14:E14"/>
    <mergeCell ref="F14:H14"/>
    <mergeCell ref="J14:P14"/>
    <mergeCell ref="B15:C15"/>
    <mergeCell ref="D15:H15"/>
    <mergeCell ref="J15:N15"/>
    <mergeCell ref="O15:P15"/>
    <mergeCell ref="Q15:R15"/>
    <mergeCell ref="B16:R16"/>
    <mergeCell ref="B19:R19"/>
    <mergeCell ref="B22:R22"/>
    <mergeCell ref="B23:R23"/>
    <mergeCell ref="B24:E24"/>
    <mergeCell ref="F24:G24"/>
    <mergeCell ref="J24:K24"/>
    <mergeCell ref="O24:P24"/>
    <mergeCell ref="B25:E25"/>
    <mergeCell ref="F25:G25"/>
    <mergeCell ref="J25:K25"/>
    <mergeCell ref="M25:P25"/>
    <mergeCell ref="B26:E26"/>
    <mergeCell ref="F26:G26"/>
    <mergeCell ref="J26:K26"/>
    <mergeCell ref="M26:P26"/>
    <mergeCell ref="B27:E27"/>
    <mergeCell ref="F27:G27"/>
    <mergeCell ref="J27:K27"/>
    <mergeCell ref="M27:P27"/>
    <mergeCell ref="B28:E28"/>
    <mergeCell ref="F28:G28"/>
    <mergeCell ref="J28:K28"/>
    <mergeCell ref="M28:P28"/>
    <mergeCell ref="B29:E29"/>
    <mergeCell ref="F29:G29"/>
    <mergeCell ref="J29:K29"/>
    <mergeCell ref="M29:P29"/>
    <mergeCell ref="Q30:R30"/>
    <mergeCell ref="B31:R31"/>
    <mergeCell ref="B32:E32"/>
    <mergeCell ref="F32:G32"/>
    <mergeCell ref="I32:P32"/>
    <mergeCell ref="B33:E33"/>
    <mergeCell ref="F33:G33"/>
    <mergeCell ref="I33:P33"/>
    <mergeCell ref="B34:E34"/>
    <mergeCell ref="F34:G34"/>
    <mergeCell ref="I34:P34"/>
    <mergeCell ref="Q35:R35"/>
    <mergeCell ref="B36:R36"/>
    <mergeCell ref="B37:E37"/>
    <mergeCell ref="F37:P37"/>
    <mergeCell ref="B38:E38"/>
    <mergeCell ref="F38:P38"/>
    <mergeCell ref="B39:E39"/>
    <mergeCell ref="F39:P39"/>
    <mergeCell ref="B40:E40"/>
    <mergeCell ref="F40:P40"/>
    <mergeCell ref="B41:E41"/>
    <mergeCell ref="F41:P41"/>
    <mergeCell ref="B42:E42"/>
    <mergeCell ref="F42:P42"/>
    <mergeCell ref="B43:E43"/>
    <mergeCell ref="F43:P43"/>
    <mergeCell ref="B44:E44"/>
    <mergeCell ref="F44:P44"/>
    <mergeCell ref="B45:E45"/>
    <mergeCell ref="F45:P45"/>
    <mergeCell ref="B46:E46"/>
    <mergeCell ref="F46:P46"/>
    <mergeCell ref="B47:E47"/>
    <mergeCell ref="F47:P47"/>
    <mergeCell ref="B48:E48"/>
    <mergeCell ref="F48:P48"/>
    <mergeCell ref="B49:E49"/>
    <mergeCell ref="F49:P49"/>
    <mergeCell ref="Q50:R50"/>
    <mergeCell ref="B51:R51"/>
    <mergeCell ref="B52:E52"/>
    <mergeCell ref="F52:N52"/>
    <mergeCell ref="C53:E53"/>
    <mergeCell ref="F53:N53"/>
    <mergeCell ref="C54:E54"/>
    <mergeCell ref="F54:N54"/>
    <mergeCell ref="C55:E55"/>
    <mergeCell ref="F55:N55"/>
    <mergeCell ref="C56:E56"/>
    <mergeCell ref="F56:N56"/>
    <mergeCell ref="C57:E57"/>
    <mergeCell ref="F57:N57"/>
    <mergeCell ref="C58:E58"/>
    <mergeCell ref="F58:N58"/>
    <mergeCell ref="C59:E59"/>
    <mergeCell ref="F59:N59"/>
    <mergeCell ref="C60:E60"/>
    <mergeCell ref="F60:N60"/>
    <mergeCell ref="C61:E61"/>
    <mergeCell ref="F61:N61"/>
    <mergeCell ref="C62:E62"/>
    <mergeCell ref="F62:N62"/>
    <mergeCell ref="C63:E63"/>
    <mergeCell ref="F63:N63"/>
    <mergeCell ref="C64:E64"/>
    <mergeCell ref="F64:N64"/>
    <mergeCell ref="C65:E65"/>
    <mergeCell ref="F65:N65"/>
    <mergeCell ref="C66:E66"/>
    <mergeCell ref="F66:N66"/>
    <mergeCell ref="C67:E67"/>
    <mergeCell ref="F67:N67"/>
    <mergeCell ref="Q68:R68"/>
    <mergeCell ref="B69:R69"/>
    <mergeCell ref="B70:E70"/>
    <mergeCell ref="F70:G70"/>
    <mergeCell ref="N70:O70"/>
    <mergeCell ref="P70:R70"/>
    <mergeCell ref="B71:E71"/>
    <mergeCell ref="F71:G71"/>
    <mergeCell ref="B72:E72"/>
    <mergeCell ref="F72:G72"/>
    <mergeCell ref="B73:E73"/>
    <mergeCell ref="F73:G73"/>
    <mergeCell ref="B74:E74"/>
    <mergeCell ref="F74:G74"/>
    <mergeCell ref="F75:G75"/>
    <mergeCell ref="F76:G76"/>
    <mergeCell ref="F77:G77"/>
    <mergeCell ref="F78:G78"/>
    <mergeCell ref="F79:G79"/>
    <mergeCell ref="F80:G80"/>
    <mergeCell ref="H80:J80"/>
    <mergeCell ref="K80:L80"/>
    <mergeCell ref="M80:N80"/>
    <mergeCell ref="O80:P80"/>
    <mergeCell ref="Q80:R80"/>
    <mergeCell ref="B89:R89"/>
    <mergeCell ref="B93:R93"/>
    <mergeCell ref="B94:E94"/>
    <mergeCell ref="F94:R94"/>
    <mergeCell ref="B95:E95"/>
    <mergeCell ref="F95:R95"/>
    <mergeCell ref="B96:E96"/>
    <mergeCell ref="F96:R96"/>
    <mergeCell ref="B97:E97"/>
    <mergeCell ref="F97:R97"/>
    <mergeCell ref="B98:E98"/>
    <mergeCell ref="F98:R98"/>
    <mergeCell ref="B99:E99"/>
    <mergeCell ref="F99:R99"/>
    <mergeCell ref="B100:E100"/>
    <mergeCell ref="F100:R100"/>
    <mergeCell ref="B101:E101"/>
    <mergeCell ref="F101:R101"/>
    <mergeCell ref="B102:E102"/>
    <mergeCell ref="F102:R102"/>
    <mergeCell ref="B103:E103"/>
    <mergeCell ref="F103:R103"/>
    <mergeCell ref="B104:E104"/>
    <mergeCell ref="F104:R104"/>
    <mergeCell ref="B106:R106"/>
    <mergeCell ref="B107:Q107"/>
    <mergeCell ref="B108:Q108"/>
    <mergeCell ref="B109:Q109"/>
    <mergeCell ref="B110:Q110"/>
    <mergeCell ref="B111:Q111"/>
    <mergeCell ref="B112:Q112"/>
    <mergeCell ref="B113:Q113"/>
    <mergeCell ref="B114:Q114"/>
    <mergeCell ref="O115:P115"/>
    <mergeCell ref="Q115:R115"/>
    <mergeCell ref="B53:B67"/>
    <mergeCell ref="B6:R7"/>
    <mergeCell ref="B9:R10"/>
    <mergeCell ref="B81:C82"/>
    <mergeCell ref="D81:R82"/>
    <mergeCell ref="B83:C84"/>
    <mergeCell ref="D83:R84"/>
    <mergeCell ref="B85:C86"/>
    <mergeCell ref="D85:R86"/>
    <mergeCell ref="B17:R18"/>
    <mergeCell ref="B20:R21"/>
    <mergeCell ref="N71:R79"/>
    <mergeCell ref="B87:C88"/>
    <mergeCell ref="D87:R88"/>
    <mergeCell ref="B90:R91"/>
    <mergeCell ref="B75:E8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zoomScale="70" zoomScaleNormal="70" workbookViewId="0">
      <selection activeCell="B18" sqref="B18:S29"/>
    </sheetView>
  </sheetViews>
  <sheetFormatPr defaultColWidth="5.18333333333333" defaultRowHeight="20" customHeight="1"/>
  <cols>
    <col min="1" max="1" width="3.33333333333333" style="42" customWidth="1"/>
    <col min="2" max="19" width="6.66666666666667" style="42" customWidth="1"/>
    <col min="20" max="20" width="3.33333333333333" style="42" customWidth="1"/>
    <col min="21" max="22" width="5.58333333333333" style="43" customWidth="1"/>
    <col min="23" max="16379" width="5.18333333333333" style="44" customWidth="1"/>
    <col min="16380" max="16384" width="5.18333333333333" style="44"/>
  </cols>
  <sheetData>
    <row r="1" customHeight="1" spans="1:25">
      <c r="A1" s="45"/>
      <c r="B1" s="45"/>
      <c r="C1" s="45"/>
      <c r="D1" s="45"/>
      <c r="E1" s="45"/>
      <c r="F1" s="45"/>
      <c r="G1" s="45"/>
      <c r="H1" s="45"/>
      <c r="I1" s="45"/>
      <c r="J1" s="45"/>
      <c r="K1" s="45"/>
      <c r="L1" s="45"/>
      <c r="M1" s="45"/>
      <c r="N1" s="45"/>
      <c r="O1" s="45"/>
      <c r="P1" s="45"/>
      <c r="Q1" s="45"/>
      <c r="R1" s="45"/>
      <c r="S1" s="45"/>
      <c r="T1" s="45"/>
    </row>
    <row r="2" customHeight="1" spans="1:25">
      <c r="A2" s="45"/>
      <c r="B2" s="46" t="s">
        <v>213</v>
      </c>
      <c r="C2" s="47"/>
      <c r="D2" s="47"/>
      <c r="E2" s="47"/>
      <c r="F2" s="47"/>
      <c r="G2" s="47"/>
      <c r="H2" s="47"/>
      <c r="I2" s="47"/>
      <c r="J2" s="47"/>
      <c r="K2" s="46" t="s">
        <v>214</v>
      </c>
      <c r="L2" s="47"/>
      <c r="M2" s="47"/>
      <c r="N2" s="47"/>
      <c r="O2" s="47"/>
      <c r="P2" s="47"/>
      <c r="Q2" s="46" t="s">
        <v>215</v>
      </c>
      <c r="R2" s="47"/>
      <c r="S2" s="47"/>
      <c r="T2" s="45"/>
    </row>
    <row r="3" customHeight="1" spans="1:25">
      <c r="A3" s="45"/>
      <c r="B3" s="48" t="s">
        <v>216</v>
      </c>
      <c r="C3" s="48" t="s">
        <v>217</v>
      </c>
      <c r="D3" s="48" t="s">
        <v>218</v>
      </c>
      <c r="E3" s="48" t="s">
        <v>22</v>
      </c>
      <c r="F3" s="48" t="s">
        <v>219</v>
      </c>
      <c r="G3" s="48" t="s">
        <v>220</v>
      </c>
      <c r="H3" s="48" t="s">
        <v>221</v>
      </c>
      <c r="I3" s="48" t="s">
        <v>222</v>
      </c>
      <c r="J3" s="48" t="s">
        <v>77</v>
      </c>
      <c r="K3" s="48" t="s">
        <v>223</v>
      </c>
      <c r="L3" s="49"/>
      <c r="M3" s="48" t="s">
        <v>224</v>
      </c>
      <c r="N3" s="49"/>
      <c r="O3" s="48" t="s">
        <v>225</v>
      </c>
      <c r="P3" s="49"/>
      <c r="Q3" s="48" t="s">
        <v>226</v>
      </c>
      <c r="R3" s="49"/>
      <c r="S3" s="49"/>
      <c r="T3" s="45"/>
    </row>
    <row r="4" customHeight="1" spans="1:25">
      <c r="A4" s="45"/>
      <c r="B4" s="48" t="s">
        <v>200</v>
      </c>
      <c r="C4" s="50"/>
      <c r="D4" s="50"/>
      <c r="E4" s="50"/>
      <c r="F4" s="50"/>
      <c r="G4" s="50"/>
      <c r="H4" s="50"/>
      <c r="I4" s="50"/>
      <c r="J4" s="50"/>
      <c r="K4" s="51"/>
      <c r="L4" s="51"/>
      <c r="M4" s="51"/>
      <c r="N4" s="51"/>
      <c r="O4" s="51"/>
      <c r="P4" s="51"/>
      <c r="Q4" s="52" t="s">
        <v>227</v>
      </c>
      <c r="R4" s="52" t="s">
        <v>228</v>
      </c>
      <c r="S4" s="52" t="s">
        <v>229</v>
      </c>
      <c r="T4" s="45"/>
      <c r="W4" s="43"/>
      <c r="X4" s="43"/>
      <c r="Y4" s="43"/>
    </row>
    <row r="5" customHeight="1" spans="1:25">
      <c r="A5" s="45"/>
      <c r="B5" s="48" t="s">
        <v>230</v>
      </c>
      <c r="C5" s="50"/>
      <c r="D5" s="50"/>
      <c r="E5" s="50"/>
      <c r="F5" s="50"/>
      <c r="G5" s="50"/>
      <c r="H5" s="50"/>
      <c r="I5" s="50"/>
      <c r="J5" s="50"/>
      <c r="K5" s="48" t="s">
        <v>231</v>
      </c>
      <c r="L5" s="49"/>
      <c r="M5" s="48" t="s">
        <v>232</v>
      </c>
      <c r="N5" s="49"/>
      <c r="O5" s="48" t="s">
        <v>233</v>
      </c>
      <c r="P5" s="48" t="s">
        <v>234</v>
      </c>
      <c r="Q5" s="50">
        <f>ROUND(R5/2,0)</f>
        <v>0</v>
      </c>
      <c r="R5" s="50">
        <f>M4</f>
        <v>0</v>
      </c>
      <c r="S5" s="50">
        <f>R5+3</f>
        <v>3</v>
      </c>
      <c r="T5" s="45"/>
      <c r="W5" s="43"/>
      <c r="X5" s="43"/>
      <c r="Y5" s="43"/>
    </row>
    <row r="6" customHeight="1" spans="1:25">
      <c r="A6" s="45"/>
      <c r="B6" s="48" t="s">
        <v>235</v>
      </c>
      <c r="C6" s="50"/>
      <c r="D6" s="50"/>
      <c r="E6" s="50"/>
      <c r="F6" s="50"/>
      <c r="G6" s="50"/>
      <c r="H6" s="50"/>
      <c r="I6" s="50"/>
      <c r="J6" s="50"/>
      <c r="K6" s="51"/>
      <c r="L6" s="51"/>
      <c r="M6" s="51"/>
      <c r="N6" s="51"/>
      <c r="O6" s="51">
        <f>人物!K20</f>
        <v>0</v>
      </c>
      <c r="P6" s="51">
        <f>人物!L20</f>
        <v>0</v>
      </c>
      <c r="Q6" s="48" t="s">
        <v>236</v>
      </c>
      <c r="R6" s="49"/>
      <c r="S6" s="49"/>
      <c r="T6" s="45"/>
      <c r="W6" s="43"/>
      <c r="X6" s="43"/>
      <c r="Y6" s="43"/>
    </row>
    <row r="7" customHeight="1" spans="1:25">
      <c r="A7" s="45"/>
      <c r="B7" s="48" t="s">
        <v>237</v>
      </c>
      <c r="C7" s="50"/>
      <c r="D7" s="50"/>
      <c r="E7" s="50"/>
      <c r="F7" s="50"/>
      <c r="G7" s="50"/>
      <c r="H7" s="50"/>
      <c r="I7" s="50"/>
      <c r="J7" s="50"/>
      <c r="K7" s="48" t="s">
        <v>238</v>
      </c>
      <c r="L7" s="49"/>
      <c r="M7" s="49"/>
      <c r="N7" s="49"/>
      <c r="O7" s="49"/>
      <c r="P7" s="49"/>
      <c r="Q7" s="52" t="s">
        <v>227</v>
      </c>
      <c r="R7" s="52" t="s">
        <v>228</v>
      </c>
      <c r="S7" s="52" t="s">
        <v>229</v>
      </c>
      <c r="T7" s="45"/>
      <c r="W7" s="43"/>
      <c r="X7" s="43"/>
    </row>
    <row r="8" customHeight="1" spans="1:25">
      <c r="A8" s="45"/>
      <c r="B8" s="48" t="s">
        <v>239</v>
      </c>
      <c r="C8" s="50" t="str">
        <f>IF(M4="","",IF(C6="√",2,0)+P6+K4+C7)</f>
        <v/>
      </c>
      <c r="D8" s="50" t="str">
        <f>IF(M4="","",IF(D6="√",2,0)+P6+K4+D7)</f>
        <v/>
      </c>
      <c r="E8" s="50" t="str">
        <f>IF(M4="","",IF(E6="√",2,0)+P6+K4+E7)</f>
        <v/>
      </c>
      <c r="F8" s="50" t="str">
        <f>IF(M4="","",IF(F6="√",2,0)+P6+K4+F7)</f>
        <v/>
      </c>
      <c r="G8" s="50" t="str">
        <f>IF(M4="","",IF(G6="√",2,0)+P6+K4+G7)</f>
        <v/>
      </c>
      <c r="H8" s="50" t="str">
        <f>IF(M4="","",IF(H6="√",2,0)+P6+K4+H7)</f>
        <v/>
      </c>
      <c r="I8" s="50" t="str">
        <f>IF(M4="","",IF(I6="√",2,0)+P6+K4+I7)</f>
        <v/>
      </c>
      <c r="J8" s="50" t="str">
        <f>IF(M4="","",IF(J6="√",2,0)+P6+K4+J7)</f>
        <v/>
      </c>
      <c r="K8" s="50"/>
      <c r="L8" s="53"/>
      <c r="M8" s="53"/>
      <c r="N8" s="53"/>
      <c r="O8" s="53"/>
      <c r="P8" s="53"/>
      <c r="Q8" s="50">
        <f>Q5*5+O6</f>
        <v>0</v>
      </c>
      <c r="R8" s="50">
        <f>R5*5+O6</f>
        <v>0</v>
      </c>
      <c r="S8" s="50">
        <f>S5*5+O6</f>
        <v>15</v>
      </c>
      <c r="T8" s="45"/>
      <c r="W8" s="43"/>
      <c r="X8" s="43"/>
    </row>
    <row r="9" customHeight="1" spans="1:25">
      <c r="A9" s="45"/>
      <c r="B9" s="45"/>
      <c r="C9" s="45"/>
      <c r="D9" s="45"/>
      <c r="E9" s="45"/>
      <c r="F9" s="45"/>
      <c r="G9" s="45"/>
      <c r="H9" s="45"/>
      <c r="I9" s="45"/>
      <c r="J9" s="45"/>
      <c r="K9" s="45"/>
      <c r="L9" s="45"/>
      <c r="M9" s="45"/>
      <c r="N9" s="45"/>
      <c r="O9" s="45"/>
      <c r="P9" s="45"/>
      <c r="Q9" s="45"/>
      <c r="R9" s="45"/>
      <c r="S9" s="45"/>
      <c r="T9" s="45"/>
      <c r="W9" s="43"/>
      <c r="X9" s="43"/>
    </row>
    <row r="10" customHeight="1" spans="1:25">
      <c r="A10" s="45"/>
      <c r="B10" s="46" t="s">
        <v>240</v>
      </c>
      <c r="C10" s="47"/>
      <c r="D10" s="47"/>
      <c r="E10" s="47"/>
      <c r="F10" s="47"/>
      <c r="G10" s="47"/>
      <c r="H10" s="47"/>
      <c r="I10" s="47"/>
      <c r="J10" s="47"/>
      <c r="K10" s="47"/>
      <c r="L10" s="47"/>
      <c r="M10" s="47"/>
      <c r="N10" s="47"/>
      <c r="O10" s="47"/>
      <c r="P10" s="47"/>
      <c r="Q10" s="47"/>
      <c r="R10" s="47"/>
      <c r="S10" s="47"/>
      <c r="T10" s="45"/>
      <c r="W10" s="43"/>
      <c r="X10" s="43"/>
    </row>
    <row r="11" customHeight="1" spans="1:25">
      <c r="A11" s="45"/>
      <c r="B11" s="48" t="s">
        <v>241</v>
      </c>
      <c r="C11" s="49"/>
      <c r="D11" s="49"/>
      <c r="E11" s="51"/>
      <c r="F11" s="51"/>
      <c r="G11" s="51"/>
      <c r="H11" s="48" t="s">
        <v>242</v>
      </c>
      <c r="I11" s="49"/>
      <c r="J11" s="49"/>
      <c r="K11" s="51"/>
      <c r="L11" s="51"/>
      <c r="M11" s="51"/>
      <c r="N11" s="48" t="s">
        <v>39</v>
      </c>
      <c r="O11" s="49"/>
      <c r="P11" s="52" t="s">
        <v>227</v>
      </c>
      <c r="Q11" s="51" t="str" cm="1">
        <f t="array" ref="Q11">IF(M4="","",Q5&amp;"D10+"&amp;_xlfn.SWITCH(E11,"次级灵能",C8,"生化学科",D8,"预言学科",E8,"操火学科",F8,"遥感学科",G8,"传心学科",H8,"高阶秘仪",I8,"其他灵能",J8,P6+K4))</f>
        <v/>
      </c>
      <c r="R11" s="51"/>
      <c r="S11" s="51"/>
      <c r="T11" s="45"/>
      <c r="W11" s="43"/>
      <c r="X11" s="43"/>
    </row>
    <row r="12" customHeight="1" spans="1:25">
      <c r="A12" s="45"/>
      <c r="B12" s="49"/>
      <c r="C12" s="49"/>
      <c r="D12" s="49"/>
      <c r="E12" s="51"/>
      <c r="F12" s="51"/>
      <c r="G12" s="51"/>
      <c r="H12" s="49"/>
      <c r="I12" s="49"/>
      <c r="J12" s="49"/>
      <c r="K12" s="51"/>
      <c r="L12" s="51"/>
      <c r="M12" s="51"/>
      <c r="N12" s="49"/>
      <c r="O12" s="49"/>
      <c r="P12" s="52" t="s">
        <v>228</v>
      </c>
      <c r="Q12" s="54" t="str" cm="1">
        <f t="array" ref="Q12">IF(M4="","",R5&amp;"D10+"&amp;_xlfn.SWITCH(E11,"次级灵能",C8,"生化学科",D8,"预言学科",E8,"操火学科",F8,"遥感学科",G8,"传心学科",H8,"高阶秘仪",I8,"其他灵能",J8,P6+K4))</f>
        <v/>
      </c>
      <c r="R12" s="51"/>
      <c r="S12" s="51"/>
      <c r="T12" s="45"/>
    </row>
    <row r="13" customHeight="1" spans="1:25">
      <c r="A13" s="45"/>
      <c r="B13" s="49"/>
      <c r="C13" s="49"/>
      <c r="D13" s="49"/>
      <c r="E13" s="51"/>
      <c r="F13" s="51"/>
      <c r="G13" s="51"/>
      <c r="H13" s="49"/>
      <c r="I13" s="49"/>
      <c r="J13" s="49"/>
      <c r="K13" s="51"/>
      <c r="L13" s="51"/>
      <c r="M13" s="51"/>
      <c r="N13" s="49"/>
      <c r="O13" s="49"/>
      <c r="P13" s="52" t="s">
        <v>229</v>
      </c>
      <c r="Q13" s="51" t="str" cm="1">
        <f t="array" ref="Q13">IF(M4="","",S5&amp;"D10+"&amp;_xlfn.SWITCH(E11,"次级灵能",C8,"生化学科",D8,"预言学科",E8,"操火学科",F8,"遥感学科",G8,"传心学科",H8,"高阶秘仪",I8,"其他灵能",J8,P6+K4))</f>
        <v/>
      </c>
      <c r="R13" s="51"/>
      <c r="S13" s="51"/>
      <c r="T13" s="45"/>
    </row>
    <row r="14" customHeight="1" spans="1:25">
      <c r="A14" s="45"/>
      <c r="B14" s="55" t="s">
        <v>243</v>
      </c>
      <c r="C14" s="55"/>
      <c r="D14" s="55"/>
      <c r="E14" s="55"/>
      <c r="F14" s="55"/>
      <c r="G14" s="55"/>
      <c r="H14" s="55"/>
      <c r="I14" s="55"/>
      <c r="J14" s="55"/>
      <c r="K14" s="55"/>
      <c r="L14" s="55"/>
      <c r="M14" s="55"/>
      <c r="N14" s="55"/>
      <c r="O14" s="55"/>
      <c r="P14" s="55"/>
      <c r="Q14" s="55"/>
      <c r="R14" s="55"/>
      <c r="S14" s="55"/>
      <c r="T14" s="45"/>
    </row>
    <row r="15" customHeight="1" spans="1:25">
      <c r="A15" s="45"/>
      <c r="B15" s="46" t="s">
        <v>244</v>
      </c>
      <c r="C15" s="47"/>
      <c r="D15" s="47"/>
      <c r="E15" s="47"/>
      <c r="F15" s="47"/>
      <c r="G15" s="47"/>
      <c r="H15" s="47"/>
      <c r="I15" s="47"/>
      <c r="J15" s="47"/>
      <c r="K15" s="47"/>
      <c r="L15" s="47"/>
      <c r="M15" s="47"/>
      <c r="N15" s="47"/>
      <c r="O15" s="47"/>
      <c r="P15" s="47"/>
      <c r="Q15" s="47"/>
      <c r="R15" s="47"/>
      <c r="S15" s="47"/>
      <c r="T15" s="45"/>
    </row>
    <row r="16" customHeight="1" spans="1:25">
      <c r="A16" s="45"/>
      <c r="B16" s="48" t="s">
        <v>242</v>
      </c>
      <c r="C16" s="49"/>
      <c r="D16" s="49"/>
      <c r="E16" s="48" t="s">
        <v>241</v>
      </c>
      <c r="F16" s="49"/>
      <c r="G16" s="49"/>
      <c r="H16" s="48" t="s">
        <v>245</v>
      </c>
      <c r="I16" s="49"/>
      <c r="J16" s="49"/>
      <c r="K16" s="48" t="s">
        <v>246</v>
      </c>
      <c r="L16" s="49"/>
      <c r="M16" s="49"/>
      <c r="N16" s="48" t="s">
        <v>247</v>
      </c>
      <c r="O16" s="49"/>
      <c r="P16" s="49"/>
      <c r="Q16" s="48" t="s">
        <v>248</v>
      </c>
      <c r="R16" s="49"/>
      <c r="S16" s="49"/>
      <c r="T16" s="45"/>
    </row>
    <row r="17" customHeight="1" spans="1:20">
      <c r="A17" s="45"/>
      <c r="B17" s="56" t="str">
        <f>IFERROR(VLOOKUP(K11,灵能表[],1,0),"")</f>
        <v/>
      </c>
      <c r="C17" s="56"/>
      <c r="D17" s="56"/>
      <c r="E17" s="56" t="str">
        <f>IFERROR(VLOOKUP(K11,灵能表[],2,0),"")</f>
        <v/>
      </c>
      <c r="F17" s="56"/>
      <c r="G17" s="56"/>
      <c r="H17" s="56" t="str">
        <f>IFERROR(VLOOKUP(K11,灵能表[],3,0),"")</f>
        <v/>
      </c>
      <c r="I17" s="56"/>
      <c r="J17" s="56"/>
      <c r="K17" s="56" t="str">
        <f>IFERROR(VLOOKUP(K11,灵能表[],4,0),"")</f>
        <v/>
      </c>
      <c r="L17" s="56"/>
      <c r="M17" s="56"/>
      <c r="N17" s="56" t="str">
        <f>IFERROR(VLOOKUP(K11,灵能表[],5,0),"")</f>
        <v/>
      </c>
      <c r="O17" s="56"/>
      <c r="P17" s="56"/>
      <c r="Q17" s="56" t="str">
        <f>IFERROR(VLOOKUP(K11,灵能表[],6,0),"")</f>
        <v/>
      </c>
      <c r="R17" s="56"/>
      <c r="S17" s="56"/>
      <c r="T17" s="45"/>
    </row>
    <row r="18" customHeight="1" spans="1:20">
      <c r="A18" s="45"/>
      <c r="B18" s="57" t="str">
        <f>IFERROR(VLOOKUP(K11,灵能表[],7,0),"")</f>
        <v/>
      </c>
      <c r="C18" s="57"/>
      <c r="D18" s="57"/>
      <c r="E18" s="57"/>
      <c r="F18" s="57"/>
      <c r="G18" s="57"/>
      <c r="H18" s="57"/>
      <c r="I18" s="57"/>
      <c r="J18" s="57"/>
      <c r="K18" s="57"/>
      <c r="L18" s="57"/>
      <c r="M18" s="57"/>
      <c r="N18" s="57"/>
      <c r="O18" s="57"/>
      <c r="P18" s="57"/>
      <c r="Q18" s="57"/>
      <c r="R18" s="57"/>
      <c r="S18" s="57"/>
      <c r="T18" s="45"/>
    </row>
    <row r="19" customHeight="1" spans="1:20">
      <c r="A19" s="45"/>
      <c r="B19" s="57"/>
      <c r="C19" s="57"/>
      <c r="D19" s="57"/>
      <c r="E19" s="57"/>
      <c r="F19" s="57"/>
      <c r="G19" s="57"/>
      <c r="H19" s="57"/>
      <c r="I19" s="57"/>
      <c r="J19" s="57"/>
      <c r="K19" s="57"/>
      <c r="L19" s="57"/>
      <c r="M19" s="57"/>
      <c r="N19" s="57"/>
      <c r="O19" s="57"/>
      <c r="P19" s="57"/>
      <c r="Q19" s="57"/>
      <c r="R19" s="57"/>
      <c r="S19" s="57"/>
      <c r="T19" s="45"/>
    </row>
    <row r="20" customHeight="1" spans="1:20">
      <c r="A20" s="45"/>
      <c r="B20" s="57"/>
      <c r="C20" s="57"/>
      <c r="D20" s="57"/>
      <c r="E20" s="57"/>
      <c r="F20" s="57"/>
      <c r="G20" s="57"/>
      <c r="H20" s="57"/>
      <c r="I20" s="57"/>
      <c r="J20" s="57"/>
      <c r="K20" s="57"/>
      <c r="L20" s="57"/>
      <c r="M20" s="57"/>
      <c r="N20" s="57"/>
      <c r="O20" s="57"/>
      <c r="P20" s="57"/>
      <c r="Q20" s="57"/>
      <c r="R20" s="57"/>
      <c r="S20" s="57"/>
      <c r="T20" s="45"/>
    </row>
    <row r="21" customHeight="1" spans="1:20">
      <c r="A21" s="45"/>
      <c r="B21" s="57"/>
      <c r="C21" s="57"/>
      <c r="D21" s="57"/>
      <c r="E21" s="57"/>
      <c r="F21" s="57"/>
      <c r="G21" s="57"/>
      <c r="H21" s="57"/>
      <c r="I21" s="57"/>
      <c r="J21" s="57"/>
      <c r="K21" s="57"/>
      <c r="L21" s="57"/>
      <c r="M21" s="57"/>
      <c r="N21" s="57"/>
      <c r="O21" s="57"/>
      <c r="P21" s="57"/>
      <c r="Q21" s="57"/>
      <c r="R21" s="57"/>
      <c r="S21" s="57"/>
      <c r="T21" s="45"/>
    </row>
    <row r="22" customHeight="1" spans="1:20">
      <c r="A22" s="45"/>
      <c r="B22" s="57"/>
      <c r="C22" s="57"/>
      <c r="D22" s="57"/>
      <c r="E22" s="57"/>
      <c r="F22" s="57"/>
      <c r="G22" s="57"/>
      <c r="H22" s="57"/>
      <c r="I22" s="57"/>
      <c r="J22" s="57"/>
      <c r="K22" s="57"/>
      <c r="L22" s="57"/>
      <c r="M22" s="57"/>
      <c r="N22" s="57"/>
      <c r="O22" s="57"/>
      <c r="P22" s="57"/>
      <c r="Q22" s="57"/>
      <c r="R22" s="57"/>
      <c r="S22" s="57"/>
      <c r="T22" s="45"/>
    </row>
    <row r="23" customHeight="1" spans="1:20">
      <c r="A23" s="45"/>
      <c r="B23" s="57"/>
      <c r="C23" s="57"/>
      <c r="D23" s="57"/>
      <c r="E23" s="57"/>
      <c r="F23" s="57"/>
      <c r="G23" s="57"/>
      <c r="H23" s="57"/>
      <c r="I23" s="57"/>
      <c r="J23" s="57"/>
      <c r="K23" s="57"/>
      <c r="L23" s="57"/>
      <c r="M23" s="57"/>
      <c r="N23" s="57"/>
      <c r="O23" s="57"/>
      <c r="P23" s="57"/>
      <c r="Q23" s="57"/>
      <c r="R23" s="57"/>
      <c r="S23" s="57"/>
      <c r="T23" s="45"/>
    </row>
    <row r="24" customHeight="1" spans="1:20">
      <c r="A24" s="45"/>
      <c r="B24" s="57"/>
      <c r="C24" s="57"/>
      <c r="D24" s="57"/>
      <c r="E24" s="57"/>
      <c r="F24" s="57"/>
      <c r="G24" s="57"/>
      <c r="H24" s="57"/>
      <c r="I24" s="57"/>
      <c r="J24" s="57"/>
      <c r="K24" s="57"/>
      <c r="L24" s="57"/>
      <c r="M24" s="57"/>
      <c r="N24" s="57"/>
      <c r="O24" s="57"/>
      <c r="P24" s="57"/>
      <c r="Q24" s="57"/>
      <c r="R24" s="57"/>
      <c r="S24" s="57"/>
      <c r="T24" s="45"/>
    </row>
    <row r="25" customHeight="1" spans="1:20">
      <c r="A25" s="45"/>
      <c r="B25" s="57"/>
      <c r="C25" s="57"/>
      <c r="D25" s="57"/>
      <c r="E25" s="57"/>
      <c r="F25" s="57"/>
      <c r="G25" s="57"/>
      <c r="H25" s="57"/>
      <c r="I25" s="57"/>
      <c r="J25" s="57"/>
      <c r="K25" s="57"/>
      <c r="L25" s="57"/>
      <c r="M25" s="57"/>
      <c r="N25" s="57"/>
      <c r="O25" s="57"/>
      <c r="P25" s="57"/>
      <c r="Q25" s="57"/>
      <c r="R25" s="57"/>
      <c r="S25" s="57"/>
      <c r="T25" s="45"/>
    </row>
    <row r="26" customHeight="1" spans="1:20">
      <c r="A26" s="45"/>
      <c r="B26" s="57"/>
      <c r="C26" s="57"/>
      <c r="D26" s="57"/>
      <c r="E26" s="57"/>
      <c r="F26" s="57"/>
      <c r="G26" s="57"/>
      <c r="H26" s="57"/>
      <c r="I26" s="57"/>
      <c r="J26" s="57"/>
      <c r="K26" s="57"/>
      <c r="L26" s="57"/>
      <c r="M26" s="57"/>
      <c r="N26" s="57"/>
      <c r="O26" s="57"/>
      <c r="P26" s="57"/>
      <c r="Q26" s="57"/>
      <c r="R26" s="57"/>
      <c r="S26" s="57"/>
      <c r="T26" s="45"/>
    </row>
    <row r="27" customHeight="1" spans="1:20">
      <c r="A27" s="45"/>
      <c r="B27" s="57"/>
      <c r="C27" s="57"/>
      <c r="D27" s="57"/>
      <c r="E27" s="57"/>
      <c r="F27" s="57"/>
      <c r="G27" s="57"/>
      <c r="H27" s="57"/>
      <c r="I27" s="57"/>
      <c r="J27" s="57"/>
      <c r="K27" s="57"/>
      <c r="L27" s="57"/>
      <c r="M27" s="57"/>
      <c r="N27" s="57"/>
      <c r="O27" s="57"/>
      <c r="P27" s="57"/>
      <c r="Q27" s="57"/>
      <c r="R27" s="57"/>
      <c r="S27" s="57"/>
      <c r="T27" s="45"/>
    </row>
    <row r="28" customHeight="1" spans="1:20">
      <c r="A28" s="45"/>
      <c r="B28" s="57"/>
      <c r="C28" s="57"/>
      <c r="D28" s="57"/>
      <c r="E28" s="57"/>
      <c r="F28" s="57"/>
      <c r="G28" s="57"/>
      <c r="H28" s="57"/>
      <c r="I28" s="57"/>
      <c r="J28" s="57"/>
      <c r="K28" s="57"/>
      <c r="L28" s="57"/>
      <c r="M28" s="57"/>
      <c r="N28" s="57"/>
      <c r="O28" s="57"/>
      <c r="P28" s="57"/>
      <c r="Q28" s="57"/>
      <c r="R28" s="57"/>
      <c r="S28" s="57"/>
      <c r="T28" s="45"/>
    </row>
    <row r="29" customHeight="1" spans="1:20">
      <c r="A29" s="45"/>
      <c r="B29" s="57"/>
      <c r="C29" s="57"/>
      <c r="D29" s="57"/>
      <c r="E29" s="57"/>
      <c r="F29" s="57"/>
      <c r="G29" s="57"/>
      <c r="H29" s="57"/>
      <c r="I29" s="57"/>
      <c r="J29" s="57"/>
      <c r="K29" s="57"/>
      <c r="L29" s="57"/>
      <c r="M29" s="57"/>
      <c r="N29" s="57"/>
      <c r="O29" s="57"/>
      <c r="P29" s="57"/>
      <c r="Q29" s="57"/>
      <c r="R29" s="57"/>
      <c r="S29" s="57"/>
      <c r="T29" s="45"/>
    </row>
    <row r="30" customHeight="1" spans="1:20">
      <c r="A30" s="45"/>
      <c r="B30" s="48" t="s">
        <v>249</v>
      </c>
      <c r="C30" s="49"/>
      <c r="D30" s="49"/>
      <c r="E30" s="58" t="str">
        <f>IFERROR(VLOOKUP(K11,灵能表[],8,0),"")</f>
        <v/>
      </c>
      <c r="F30" s="58"/>
      <c r="G30" s="58"/>
      <c r="H30" s="58"/>
      <c r="I30" s="58"/>
      <c r="J30" s="58"/>
      <c r="K30" s="58"/>
      <c r="L30" s="58"/>
      <c r="M30" s="58"/>
      <c r="N30" s="58"/>
      <c r="O30" s="58"/>
      <c r="P30" s="58"/>
      <c r="Q30" s="58"/>
      <c r="R30" s="58"/>
      <c r="S30" s="58"/>
      <c r="T30" s="45"/>
    </row>
    <row r="31" customHeight="1" spans="1:20">
      <c r="A31" s="45"/>
      <c r="B31" s="49"/>
      <c r="C31" s="49"/>
      <c r="D31" s="49"/>
      <c r="E31" s="58"/>
      <c r="F31" s="58"/>
      <c r="G31" s="58"/>
      <c r="H31" s="58"/>
      <c r="I31" s="58"/>
      <c r="J31" s="58"/>
      <c r="K31" s="58"/>
      <c r="L31" s="58"/>
      <c r="M31" s="58"/>
      <c r="N31" s="58"/>
      <c r="O31" s="58"/>
      <c r="P31" s="58"/>
      <c r="Q31" s="58"/>
      <c r="R31" s="58"/>
      <c r="S31" s="58"/>
      <c r="T31" s="45"/>
    </row>
    <row r="32" customHeight="1" spans="1:20">
      <c r="A32" s="45"/>
      <c r="B32" s="49"/>
      <c r="C32" s="49"/>
      <c r="D32" s="49"/>
      <c r="E32" s="58"/>
      <c r="F32" s="58"/>
      <c r="G32" s="58"/>
      <c r="H32" s="58"/>
      <c r="I32" s="58"/>
      <c r="J32" s="58"/>
      <c r="K32" s="58"/>
      <c r="L32" s="58"/>
      <c r="M32" s="58"/>
      <c r="N32" s="58"/>
      <c r="O32" s="58"/>
      <c r="P32" s="58"/>
      <c r="Q32" s="58"/>
      <c r="R32" s="58"/>
      <c r="S32" s="58"/>
      <c r="T32" s="45"/>
    </row>
    <row r="33" customHeight="1" spans="1:20">
      <c r="A33" s="45"/>
      <c r="B33" s="49"/>
      <c r="C33" s="49"/>
      <c r="D33" s="49"/>
      <c r="E33" s="58"/>
      <c r="F33" s="58"/>
      <c r="G33" s="58"/>
      <c r="H33" s="58"/>
      <c r="I33" s="58"/>
      <c r="J33" s="58"/>
      <c r="K33" s="58"/>
      <c r="L33" s="58"/>
      <c r="M33" s="58"/>
      <c r="N33" s="58"/>
      <c r="O33" s="58"/>
      <c r="P33" s="58"/>
      <c r="Q33" s="58"/>
      <c r="R33" s="58"/>
      <c r="S33" s="58"/>
      <c r="T33" s="45"/>
    </row>
    <row r="34" customHeight="1" spans="1:20">
      <c r="A34" s="45"/>
      <c r="B34" s="45"/>
      <c r="C34" s="45"/>
      <c r="D34" s="45"/>
      <c r="E34" s="45"/>
      <c r="F34" s="45"/>
      <c r="G34" s="45"/>
      <c r="H34" s="45"/>
      <c r="I34" s="45"/>
      <c r="J34" s="45"/>
      <c r="K34" s="45"/>
      <c r="L34" s="45"/>
      <c r="M34" s="45"/>
      <c r="N34" s="45"/>
      <c r="O34" s="45"/>
      <c r="P34" s="45"/>
      <c r="Q34" s="45"/>
      <c r="R34" s="45"/>
      <c r="S34" s="45"/>
      <c r="T34" s="59"/>
    </row>
    <row r="35" customHeight="1" spans="1:20">
      <c r="A35" s="45"/>
      <c r="B35" s="46" t="s">
        <v>250</v>
      </c>
      <c r="C35" s="47"/>
      <c r="D35" s="47"/>
      <c r="E35" s="47"/>
      <c r="F35" s="47"/>
      <c r="G35" s="47"/>
      <c r="H35" s="47"/>
      <c r="I35" s="47"/>
      <c r="J35" s="47"/>
      <c r="K35" s="47"/>
      <c r="L35" s="47"/>
      <c r="M35" s="47"/>
      <c r="N35" s="47"/>
      <c r="O35" s="47"/>
      <c r="P35" s="47"/>
      <c r="Q35" s="47"/>
      <c r="R35" s="47"/>
      <c r="S35" s="47"/>
      <c r="T35" s="45"/>
    </row>
    <row r="36" customHeight="1" spans="1:20">
      <c r="A36" s="45"/>
      <c r="B36" s="48" t="s">
        <v>251</v>
      </c>
      <c r="C36" s="49"/>
      <c r="D36" s="49"/>
      <c r="E36" s="49"/>
      <c r="F36" s="49"/>
      <c r="G36" s="49"/>
      <c r="H36" s="49"/>
      <c r="I36" s="49"/>
      <c r="J36" s="49"/>
      <c r="K36" s="49"/>
      <c r="L36" s="49"/>
      <c r="M36" s="49"/>
      <c r="N36" s="49"/>
      <c r="O36" s="49"/>
      <c r="P36" s="49"/>
      <c r="Q36" s="49"/>
      <c r="R36" s="49"/>
      <c r="S36" s="49"/>
      <c r="T36" s="45"/>
    </row>
    <row r="37" customHeight="1" spans="1:20">
      <c r="A37" s="45"/>
      <c r="B37" s="50"/>
      <c r="C37" s="53"/>
      <c r="D37" s="53"/>
      <c r="E37" s="50"/>
      <c r="F37" s="53"/>
      <c r="G37" s="53"/>
      <c r="H37" s="50"/>
      <c r="I37" s="53"/>
      <c r="J37" s="53"/>
      <c r="K37" s="50"/>
      <c r="L37" s="53"/>
      <c r="M37" s="53"/>
      <c r="N37" s="50"/>
      <c r="O37" s="53"/>
      <c r="P37" s="53"/>
      <c r="Q37" s="50"/>
      <c r="R37" s="53"/>
      <c r="S37" s="53"/>
      <c r="T37" s="45"/>
    </row>
    <row r="38" customHeight="1" spans="1:20">
      <c r="A38" s="45"/>
      <c r="B38" s="53"/>
      <c r="C38" s="53"/>
      <c r="D38" s="53"/>
      <c r="E38" s="53"/>
      <c r="F38" s="53"/>
      <c r="G38" s="53"/>
      <c r="H38" s="53"/>
      <c r="I38" s="53"/>
      <c r="J38" s="53"/>
      <c r="K38" s="53"/>
      <c r="L38" s="53"/>
      <c r="M38" s="53"/>
      <c r="N38" s="53"/>
      <c r="O38" s="53"/>
      <c r="P38" s="53"/>
      <c r="Q38" s="53"/>
      <c r="R38" s="53"/>
      <c r="S38" s="53"/>
      <c r="T38" s="45"/>
    </row>
    <row r="39" customHeight="1" spans="1:20">
      <c r="A39" s="45"/>
      <c r="B39" s="50"/>
      <c r="C39" s="53"/>
      <c r="D39" s="53"/>
      <c r="E39" s="50"/>
      <c r="F39" s="53"/>
      <c r="G39" s="53"/>
      <c r="H39" s="50"/>
      <c r="I39" s="53"/>
      <c r="J39" s="53"/>
      <c r="K39" s="50"/>
      <c r="L39" s="53"/>
      <c r="M39" s="53"/>
      <c r="N39" s="50"/>
      <c r="O39" s="53"/>
      <c r="P39" s="53"/>
      <c r="Q39" s="50"/>
      <c r="R39" s="53"/>
      <c r="S39" s="53"/>
      <c r="T39" s="45"/>
    </row>
    <row r="40" customHeight="1" spans="1:20">
      <c r="A40" s="45"/>
      <c r="B40" s="53"/>
      <c r="C40" s="53"/>
      <c r="D40" s="53"/>
      <c r="E40" s="53"/>
      <c r="F40" s="53"/>
      <c r="G40" s="53"/>
      <c r="H40" s="53"/>
      <c r="I40" s="53"/>
      <c r="J40" s="53"/>
      <c r="K40" s="53"/>
      <c r="L40" s="53"/>
      <c r="M40" s="53"/>
      <c r="N40" s="53"/>
      <c r="O40" s="53"/>
      <c r="P40" s="53"/>
      <c r="Q40" s="53"/>
      <c r="R40" s="53"/>
      <c r="S40" s="53"/>
      <c r="T40" s="45"/>
    </row>
    <row r="41" customHeight="1" spans="1:20">
      <c r="A41" s="45"/>
      <c r="B41" s="50"/>
      <c r="C41" s="53"/>
      <c r="D41" s="53"/>
      <c r="E41" s="50"/>
      <c r="F41" s="53"/>
      <c r="G41" s="53"/>
      <c r="H41" s="50"/>
      <c r="I41" s="53"/>
      <c r="J41" s="53"/>
      <c r="K41" s="50"/>
      <c r="L41" s="53"/>
      <c r="M41" s="53"/>
      <c r="N41" s="50"/>
      <c r="O41" s="53"/>
      <c r="P41" s="53"/>
      <c r="Q41" s="50"/>
      <c r="R41" s="53"/>
      <c r="S41" s="53"/>
      <c r="T41" s="45"/>
    </row>
    <row r="42" customHeight="1" spans="1:20">
      <c r="A42" s="45"/>
      <c r="B42" s="53"/>
      <c r="C42" s="53"/>
      <c r="D42" s="53"/>
      <c r="E42" s="53"/>
      <c r="F42" s="53"/>
      <c r="G42" s="53"/>
      <c r="H42" s="53"/>
      <c r="I42" s="53"/>
      <c r="J42" s="53"/>
      <c r="K42" s="53"/>
      <c r="L42" s="53"/>
      <c r="M42" s="53"/>
      <c r="N42" s="53"/>
      <c r="O42" s="53"/>
      <c r="P42" s="53"/>
      <c r="Q42" s="53"/>
      <c r="R42" s="53"/>
      <c r="S42" s="53"/>
      <c r="T42" s="45"/>
    </row>
    <row r="43" customHeight="1" spans="1:20">
      <c r="A43" s="45"/>
      <c r="B43" s="48" t="s">
        <v>252</v>
      </c>
      <c r="C43" s="49"/>
      <c r="D43" s="49"/>
      <c r="E43" s="49"/>
      <c r="F43" s="49"/>
      <c r="G43" s="49"/>
      <c r="H43" s="49"/>
      <c r="I43" s="49"/>
      <c r="J43" s="49"/>
      <c r="K43" s="49"/>
      <c r="L43" s="49"/>
      <c r="M43" s="49"/>
      <c r="N43" s="49"/>
      <c r="O43" s="49"/>
      <c r="P43" s="49"/>
      <c r="Q43" s="49"/>
      <c r="R43" s="49"/>
      <c r="S43" s="49"/>
      <c r="T43" s="45"/>
    </row>
    <row r="44" customHeight="1" spans="1:20">
      <c r="A44" s="45"/>
      <c r="B44" s="50"/>
      <c r="C44" s="53"/>
      <c r="D44" s="53"/>
      <c r="E44" s="50"/>
      <c r="F44" s="53"/>
      <c r="G44" s="53"/>
      <c r="H44" s="50"/>
      <c r="I44" s="53"/>
      <c r="J44" s="53"/>
      <c r="K44" s="50"/>
      <c r="L44" s="53"/>
      <c r="M44" s="53"/>
      <c r="N44" s="50"/>
      <c r="O44" s="53"/>
      <c r="P44" s="53"/>
      <c r="Q44" s="50"/>
      <c r="R44" s="53"/>
      <c r="S44" s="53"/>
      <c r="T44" s="45"/>
    </row>
    <row r="45" customHeight="1" spans="1:20">
      <c r="A45" s="45"/>
      <c r="B45" s="53"/>
      <c r="C45" s="53"/>
      <c r="D45" s="53"/>
      <c r="E45" s="53"/>
      <c r="F45" s="53"/>
      <c r="G45" s="53"/>
      <c r="H45" s="53"/>
      <c r="I45" s="53"/>
      <c r="J45" s="53"/>
      <c r="K45" s="53"/>
      <c r="L45" s="53"/>
      <c r="M45" s="53"/>
      <c r="N45" s="53"/>
      <c r="O45" s="53"/>
      <c r="P45" s="53"/>
      <c r="Q45" s="53"/>
      <c r="R45" s="53"/>
      <c r="S45" s="53"/>
      <c r="T45" s="45"/>
    </row>
    <row r="46" customHeight="1" spans="1:20">
      <c r="A46" s="45"/>
      <c r="B46" s="46" t="s">
        <v>253</v>
      </c>
      <c r="C46" s="47"/>
      <c r="D46" s="47"/>
      <c r="E46" s="47"/>
      <c r="F46" s="47"/>
      <c r="G46" s="47"/>
      <c r="H46" s="47"/>
      <c r="I46" s="47"/>
      <c r="J46" s="47"/>
      <c r="K46" s="47"/>
      <c r="L46" s="47"/>
      <c r="M46" s="47"/>
      <c r="N46" s="47"/>
      <c r="O46" s="47"/>
      <c r="P46" s="47"/>
      <c r="Q46" s="47"/>
      <c r="R46" s="47"/>
      <c r="S46" s="47"/>
      <c r="T46" s="45"/>
    </row>
    <row r="47" customHeight="1" spans="1:20">
      <c r="A47" s="45"/>
      <c r="B47" s="48"/>
      <c r="C47" s="49"/>
      <c r="D47" s="49"/>
      <c r="E47" s="49"/>
      <c r="F47" s="49"/>
      <c r="G47" s="49"/>
      <c r="H47" s="49"/>
      <c r="I47" s="49"/>
      <c r="J47" s="49"/>
      <c r="K47" s="49"/>
      <c r="L47" s="49"/>
      <c r="M47" s="49"/>
      <c r="N47" s="49"/>
      <c r="O47" s="49"/>
      <c r="P47" s="49"/>
      <c r="Q47" s="49"/>
      <c r="R47" s="49"/>
      <c r="S47" s="49"/>
      <c r="T47" s="45"/>
    </row>
    <row r="48" customHeight="1" spans="1:20">
      <c r="A48" s="45"/>
      <c r="B48" s="50"/>
      <c r="C48" s="53"/>
      <c r="D48" s="53"/>
      <c r="E48" s="50"/>
      <c r="F48" s="53"/>
      <c r="G48" s="53"/>
      <c r="H48" s="50"/>
      <c r="I48" s="53"/>
      <c r="J48" s="53"/>
      <c r="K48" s="50"/>
      <c r="L48" s="53"/>
      <c r="M48" s="53"/>
      <c r="N48" s="50"/>
      <c r="O48" s="53"/>
      <c r="P48" s="53"/>
      <c r="Q48" s="50"/>
      <c r="R48" s="53"/>
      <c r="S48" s="53"/>
      <c r="T48" s="45"/>
    </row>
    <row r="49" customHeight="1" spans="1:20">
      <c r="A49" s="45"/>
      <c r="B49" s="53"/>
      <c r="C49" s="53"/>
      <c r="D49" s="53"/>
      <c r="E49" s="53"/>
      <c r="F49" s="53"/>
      <c r="G49" s="53"/>
      <c r="H49" s="53"/>
      <c r="I49" s="53"/>
      <c r="J49" s="53"/>
      <c r="K49" s="53"/>
      <c r="L49" s="53"/>
      <c r="M49" s="53"/>
      <c r="N49" s="53"/>
      <c r="O49" s="53"/>
      <c r="P49" s="53"/>
      <c r="Q49" s="53"/>
      <c r="R49" s="53"/>
      <c r="S49" s="53"/>
      <c r="T49" s="45"/>
    </row>
    <row r="50" customHeight="1" spans="1:20">
      <c r="A50" s="45"/>
      <c r="B50" s="50"/>
      <c r="C50" s="53"/>
      <c r="D50" s="53"/>
      <c r="E50" s="50"/>
      <c r="F50" s="53"/>
      <c r="G50" s="53"/>
      <c r="H50" s="50"/>
      <c r="I50" s="53"/>
      <c r="J50" s="53"/>
      <c r="K50" s="50"/>
      <c r="L50" s="53"/>
      <c r="M50" s="53"/>
      <c r="N50" s="50"/>
      <c r="O50" s="53"/>
      <c r="P50" s="53"/>
      <c r="Q50" s="50"/>
      <c r="R50" s="53"/>
      <c r="S50" s="53"/>
      <c r="T50" s="45"/>
    </row>
    <row r="51" customHeight="1" spans="1:20">
      <c r="A51" s="45"/>
      <c r="B51" s="53"/>
      <c r="C51" s="53"/>
      <c r="D51" s="53"/>
      <c r="E51" s="53"/>
      <c r="F51" s="53"/>
      <c r="G51" s="53"/>
      <c r="H51" s="53"/>
      <c r="I51" s="53"/>
      <c r="J51" s="53"/>
      <c r="K51" s="53"/>
      <c r="L51" s="53"/>
      <c r="M51" s="53"/>
      <c r="N51" s="53"/>
      <c r="O51" s="53"/>
      <c r="P51" s="53"/>
      <c r="Q51" s="53"/>
      <c r="R51" s="53"/>
      <c r="S51" s="53"/>
      <c r="T51" s="45"/>
    </row>
    <row r="52" customHeight="1" spans="1:20">
      <c r="A52" s="45"/>
      <c r="B52" s="48"/>
      <c r="C52" s="49"/>
      <c r="D52" s="49"/>
      <c r="E52" s="49"/>
      <c r="F52" s="49"/>
      <c r="G52" s="49"/>
      <c r="H52" s="49"/>
      <c r="I52" s="49"/>
      <c r="J52" s="49"/>
      <c r="K52" s="49"/>
      <c r="L52" s="49"/>
      <c r="M52" s="49"/>
      <c r="N52" s="49"/>
      <c r="O52" s="49"/>
      <c r="P52" s="49"/>
      <c r="Q52" s="49"/>
      <c r="R52" s="49"/>
      <c r="S52" s="49"/>
      <c r="T52" s="45"/>
    </row>
    <row r="53" customHeight="1" spans="1:20">
      <c r="A53" s="45"/>
      <c r="B53" s="50"/>
      <c r="C53" s="53"/>
      <c r="D53" s="53"/>
      <c r="E53" s="50"/>
      <c r="F53" s="53"/>
      <c r="G53" s="53"/>
      <c r="H53" s="50"/>
      <c r="I53" s="53"/>
      <c r="J53" s="53"/>
      <c r="K53" s="50"/>
      <c r="L53" s="53"/>
      <c r="M53" s="53"/>
      <c r="N53" s="50"/>
      <c r="O53" s="53"/>
      <c r="P53" s="53"/>
      <c r="Q53" s="50"/>
      <c r="R53" s="53"/>
      <c r="S53" s="53"/>
      <c r="T53" s="45"/>
    </row>
    <row r="54" customHeight="1" spans="1:20">
      <c r="A54" s="45"/>
      <c r="B54" s="53"/>
      <c r="C54" s="53"/>
      <c r="D54" s="53"/>
      <c r="E54" s="53"/>
      <c r="F54" s="53"/>
      <c r="G54" s="53"/>
      <c r="H54" s="53"/>
      <c r="I54" s="53"/>
      <c r="J54" s="53"/>
      <c r="K54" s="53"/>
      <c r="L54" s="53"/>
      <c r="M54" s="53"/>
      <c r="N54" s="53"/>
      <c r="O54" s="53"/>
      <c r="P54" s="53"/>
      <c r="Q54" s="53"/>
      <c r="R54" s="53"/>
      <c r="S54" s="53"/>
      <c r="T54" s="45"/>
    </row>
    <row r="55" customHeight="1" spans="1:20">
      <c r="A55" s="45"/>
      <c r="B55" s="50"/>
      <c r="C55" s="53"/>
      <c r="D55" s="53"/>
      <c r="E55" s="50"/>
      <c r="F55" s="53"/>
      <c r="G55" s="53"/>
      <c r="H55" s="50"/>
      <c r="I55" s="53"/>
      <c r="J55" s="53"/>
      <c r="K55" s="50"/>
      <c r="L55" s="53"/>
      <c r="M55" s="53"/>
      <c r="N55" s="50"/>
      <c r="O55" s="53"/>
      <c r="P55" s="53"/>
      <c r="Q55" s="50"/>
      <c r="R55" s="53"/>
      <c r="S55" s="53"/>
      <c r="T55" s="45"/>
    </row>
    <row r="56" customHeight="1" spans="1:20">
      <c r="A56" s="45"/>
      <c r="B56" s="53"/>
      <c r="C56" s="53"/>
      <c r="D56" s="53"/>
      <c r="E56" s="53"/>
      <c r="F56" s="53"/>
      <c r="G56" s="53"/>
      <c r="H56" s="53"/>
      <c r="I56" s="53"/>
      <c r="J56" s="53"/>
      <c r="K56" s="53"/>
      <c r="L56" s="53"/>
      <c r="M56" s="53"/>
      <c r="N56" s="53"/>
      <c r="O56" s="53"/>
      <c r="P56" s="53"/>
      <c r="Q56" s="53"/>
      <c r="R56" s="53"/>
      <c r="S56" s="53"/>
      <c r="T56" s="45"/>
    </row>
    <row r="57" customHeight="1" spans="1:20">
      <c r="A57" s="45"/>
      <c r="B57" s="46" t="s">
        <v>254</v>
      </c>
      <c r="C57" s="47"/>
      <c r="D57" s="47"/>
      <c r="E57" s="47"/>
      <c r="F57" s="47"/>
      <c r="G57" s="47"/>
      <c r="H57" s="47"/>
      <c r="I57" s="47"/>
      <c r="J57" s="47"/>
      <c r="K57" s="47"/>
      <c r="L57" s="47"/>
      <c r="M57" s="47"/>
      <c r="N57" s="47"/>
      <c r="O57" s="47"/>
      <c r="P57" s="47"/>
      <c r="Q57" s="47"/>
      <c r="R57" s="47"/>
      <c r="S57" s="47"/>
      <c r="T57" s="45"/>
    </row>
    <row r="58" customHeight="1" spans="1:20">
      <c r="A58" s="45"/>
      <c r="B58" s="48"/>
      <c r="C58" s="49"/>
      <c r="D58" s="49"/>
      <c r="E58" s="49"/>
      <c r="F58" s="49"/>
      <c r="G58" s="49"/>
      <c r="H58" s="49"/>
      <c r="I58" s="49"/>
      <c r="J58" s="49"/>
      <c r="K58" s="49"/>
      <c r="L58" s="49"/>
      <c r="M58" s="49"/>
      <c r="N58" s="49"/>
      <c r="O58" s="49"/>
      <c r="P58" s="49"/>
      <c r="Q58" s="49"/>
      <c r="R58" s="49"/>
      <c r="S58" s="49"/>
      <c r="T58" s="45"/>
    </row>
    <row r="59" customHeight="1" spans="1:20">
      <c r="A59" s="45"/>
      <c r="B59" s="50"/>
      <c r="C59" s="53"/>
      <c r="D59" s="53"/>
      <c r="E59" s="50"/>
      <c r="F59" s="53"/>
      <c r="G59" s="53"/>
      <c r="H59" s="50"/>
      <c r="I59" s="53"/>
      <c r="J59" s="53"/>
      <c r="K59" s="50"/>
      <c r="L59" s="53"/>
      <c r="M59" s="53"/>
      <c r="N59" s="50"/>
      <c r="O59" s="53"/>
      <c r="P59" s="53"/>
      <c r="Q59" s="50"/>
      <c r="R59" s="53"/>
      <c r="S59" s="53"/>
      <c r="T59" s="45"/>
    </row>
    <row r="60" customHeight="1" spans="1:20">
      <c r="A60" s="45"/>
      <c r="B60" s="53"/>
      <c r="C60" s="53"/>
      <c r="D60" s="53"/>
      <c r="E60" s="53"/>
      <c r="F60" s="53"/>
      <c r="G60" s="53"/>
      <c r="H60" s="53"/>
      <c r="I60" s="53"/>
      <c r="J60" s="53"/>
      <c r="K60" s="53"/>
      <c r="L60" s="53"/>
      <c r="M60" s="53"/>
      <c r="N60" s="53"/>
      <c r="O60" s="53"/>
      <c r="P60" s="53"/>
      <c r="Q60" s="53"/>
      <c r="R60" s="53"/>
      <c r="S60" s="53"/>
      <c r="T60" s="45"/>
    </row>
    <row r="61" customHeight="1" spans="1:20">
      <c r="A61" s="45"/>
      <c r="B61" s="50"/>
      <c r="C61" s="53"/>
      <c r="D61" s="53"/>
      <c r="E61" s="50"/>
      <c r="F61" s="53"/>
      <c r="G61" s="53"/>
      <c r="H61" s="50"/>
      <c r="I61" s="53"/>
      <c r="J61" s="53"/>
      <c r="K61" s="50"/>
      <c r="L61" s="53"/>
      <c r="M61" s="53"/>
      <c r="N61" s="50"/>
      <c r="O61" s="53"/>
      <c r="P61" s="53"/>
      <c r="Q61" s="50"/>
      <c r="R61" s="53"/>
      <c r="S61" s="53"/>
      <c r="T61" s="45"/>
    </row>
    <row r="62" customHeight="1" spans="1:20">
      <c r="A62" s="45"/>
      <c r="B62" s="53"/>
      <c r="C62" s="53"/>
      <c r="D62" s="53"/>
      <c r="E62" s="53"/>
      <c r="F62" s="53"/>
      <c r="G62" s="53"/>
      <c r="H62" s="53"/>
      <c r="I62" s="53"/>
      <c r="J62" s="53"/>
      <c r="K62" s="53"/>
      <c r="L62" s="53"/>
      <c r="M62" s="53"/>
      <c r="N62" s="53"/>
      <c r="O62" s="53"/>
      <c r="P62" s="53"/>
      <c r="Q62" s="53"/>
      <c r="R62" s="53"/>
      <c r="S62" s="53"/>
      <c r="T62" s="45"/>
    </row>
    <row r="63" customHeight="1" spans="1:20">
      <c r="A63" s="60"/>
      <c r="B63" s="60"/>
      <c r="C63" s="60"/>
      <c r="D63" s="60"/>
      <c r="E63" s="60"/>
      <c r="F63" s="60"/>
      <c r="G63" s="60"/>
      <c r="H63" s="60"/>
      <c r="I63" s="60"/>
      <c r="J63" s="60"/>
      <c r="K63" s="60"/>
      <c r="L63" s="60"/>
      <c r="M63" s="60"/>
      <c r="N63" s="60"/>
      <c r="O63" s="60"/>
      <c r="P63" s="60"/>
      <c r="Q63" s="60"/>
      <c r="R63" s="60"/>
      <c r="S63" s="60"/>
      <c r="T63" s="60"/>
    </row>
  </sheetData>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人物数据!$S:$S</formula1>
    </dataValidation>
    <dataValidation type="list" allowBlank="1" showInputMessage="1" showErrorMessage="1" sqref="K11:M13">
      <formula1>人物数据!$T$1:$T$60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29"/>
  <sheetViews>
    <sheetView zoomScale="70" zoomScaleNormal="70" workbookViewId="0">
      <selection activeCell="U42" sqref="U42"/>
    </sheetView>
  </sheetViews>
  <sheetFormatPr defaultColWidth="5.16666666666667" defaultRowHeight="18" customHeight="1"/>
  <cols>
    <col min="1" max="1" width="2.40833333333333" style="21" customWidth="1"/>
    <col min="2" max="5" width="5.15833333333333" style="21"/>
    <col min="6" max="6" width="5.41666666666667" style="21"/>
    <col min="7" max="18" width="5.15833333333333" style="21"/>
    <col min="19" max="19" width="2.40833333333333" style="21" customWidth="1"/>
    <col min="20" max="25" width="5.15833333333333" style="21"/>
    <col min="26" max="26" width="5.16666666666667" style="21"/>
    <col min="27" max="27" width="5.15833333333333" style="21"/>
    <col min="28" max="28" width="2.40833333333333" style="21" customWidth="1"/>
    <col min="29" max="29" width="7.25" style="21" customWidth="1"/>
    <col min="30" max="16384" width="5.15833333333333" style="21"/>
  </cols>
  <sheetData>
    <row r="2" s="21" customFormat="1" customHeight="1" spans="2:24">
      <c r="B2" s="22" t="s">
        <v>255</v>
      </c>
      <c r="C2" s="22"/>
      <c r="D2" s="22"/>
      <c r="E2" s="22"/>
      <c r="F2" s="22"/>
      <c r="G2" s="22"/>
      <c r="H2" s="22"/>
      <c r="I2" s="22"/>
      <c r="J2" s="22"/>
      <c r="K2" s="22"/>
      <c r="L2" s="22"/>
      <c r="M2" s="22"/>
      <c r="N2" s="22"/>
      <c r="O2" s="22"/>
      <c r="P2" s="22"/>
      <c r="Q2" s="22"/>
      <c r="R2" s="22"/>
      <c r="T2" s="23" t="s">
        <v>256</v>
      </c>
      <c r="U2" s="23"/>
      <c r="V2" s="23"/>
      <c r="W2" s="23"/>
      <c r="X2" s="23"/>
    </row>
    <row r="3" s="21" customFormat="1" customHeight="1" spans="2:24">
      <c r="B3" s="24" t="s">
        <v>257</v>
      </c>
      <c r="C3" s="24"/>
      <c r="D3" s="24"/>
      <c r="E3" s="24"/>
      <c r="F3" s="24"/>
      <c r="G3" s="24"/>
      <c r="H3" s="24"/>
      <c r="I3" s="24"/>
      <c r="J3" s="24"/>
      <c r="K3" s="24"/>
      <c r="L3" s="24"/>
      <c r="M3" s="24"/>
      <c r="N3" s="24"/>
      <c r="O3" s="24"/>
      <c r="P3" s="24"/>
      <c r="Q3" s="24"/>
      <c r="R3" s="24"/>
      <c r="T3" s="25" t="s">
        <v>258</v>
      </c>
      <c r="U3" s="25"/>
      <c r="V3" s="25"/>
      <c r="W3" s="25"/>
      <c r="X3" s="25"/>
    </row>
    <row r="4" s="21" customFormat="1" customHeight="1" spans="2:24">
      <c r="B4" s="24"/>
      <c r="C4" s="24"/>
      <c r="D4" s="24"/>
      <c r="E4" s="24"/>
      <c r="F4" s="24"/>
      <c r="G4" s="24"/>
      <c r="H4" s="24"/>
      <c r="I4" s="24"/>
      <c r="J4" s="24"/>
      <c r="K4" s="24"/>
      <c r="L4" s="24"/>
      <c r="M4" s="24"/>
      <c r="N4" s="24"/>
      <c r="O4" s="24"/>
      <c r="P4" s="24"/>
      <c r="Q4" s="24"/>
      <c r="R4" s="24"/>
      <c r="T4" s="26" t="s">
        <v>259</v>
      </c>
      <c r="U4" s="26"/>
      <c r="V4" s="26"/>
      <c r="W4" s="26"/>
      <c r="X4" s="26"/>
    </row>
    <row r="5" s="21" customFormat="1" customHeight="1" spans="2:24">
      <c r="B5" s="24"/>
      <c r="C5" s="24"/>
      <c r="D5" s="24"/>
      <c r="E5" s="24"/>
      <c r="F5" s="24"/>
      <c r="G5" s="24"/>
      <c r="H5" s="24"/>
      <c r="I5" s="24"/>
      <c r="J5" s="24"/>
      <c r="K5" s="24"/>
      <c r="L5" s="24"/>
      <c r="M5" s="24"/>
      <c r="N5" s="24"/>
      <c r="O5" s="24"/>
      <c r="P5" s="24"/>
      <c r="Q5" s="24"/>
      <c r="R5" s="24"/>
      <c r="T5" s="27" t="s">
        <v>260</v>
      </c>
      <c r="U5" s="27"/>
      <c r="V5" s="27"/>
      <c r="W5" s="27"/>
      <c r="X5" s="27"/>
    </row>
    <row r="6" s="21" customFormat="1" customHeight="1" spans="2:24">
      <c r="B6" s="28" t="str">
        <f>人物!A36</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C6" s="28"/>
      <c r="D6" s="28"/>
      <c r="E6" s="28"/>
      <c r="F6" s="28"/>
      <c r="G6" s="28"/>
      <c r="H6" s="28"/>
      <c r="I6" s="28"/>
      <c r="J6" s="28"/>
      <c r="K6" s="28"/>
      <c r="L6" s="28"/>
      <c r="M6" s="28"/>
      <c r="N6" s="28"/>
      <c r="O6" s="28"/>
      <c r="P6" s="28"/>
      <c r="Q6" s="28"/>
      <c r="R6" s="28"/>
      <c r="T6" s="27" t="s">
        <v>261</v>
      </c>
      <c r="U6" s="27"/>
      <c r="V6" s="27"/>
      <c r="W6" s="27"/>
      <c r="X6" s="27"/>
    </row>
    <row r="7" s="21" customFormat="1" customHeight="1" spans="2:24">
      <c r="B7" s="28"/>
      <c r="C7" s="28"/>
      <c r="D7" s="28"/>
      <c r="E7" s="28"/>
      <c r="F7" s="28"/>
      <c r="G7" s="28"/>
      <c r="H7" s="28"/>
      <c r="I7" s="28"/>
      <c r="J7" s="28"/>
      <c r="K7" s="28"/>
      <c r="L7" s="28"/>
      <c r="M7" s="28"/>
      <c r="N7" s="28"/>
      <c r="O7" s="28"/>
      <c r="P7" s="28"/>
      <c r="Q7" s="28"/>
      <c r="R7" s="28"/>
      <c r="T7" s="27" t="s">
        <v>262</v>
      </c>
      <c r="U7" s="27"/>
      <c r="V7" s="27"/>
      <c r="W7" s="27"/>
      <c r="X7" s="27"/>
    </row>
    <row r="8" s="21" customFormat="1" customHeight="1" spans="2:24">
      <c r="B8" s="28"/>
      <c r="C8" s="28"/>
      <c r="D8" s="28"/>
      <c r="E8" s="28"/>
      <c r="F8" s="28"/>
      <c r="G8" s="28"/>
      <c r="H8" s="28"/>
      <c r="I8" s="28"/>
      <c r="J8" s="28"/>
      <c r="K8" s="28"/>
      <c r="L8" s="28"/>
      <c r="M8" s="28"/>
      <c r="N8" s="28"/>
      <c r="O8" s="28"/>
      <c r="P8" s="28"/>
      <c r="Q8" s="28"/>
      <c r="R8" s="28"/>
      <c r="T8" s="27" t="s">
        <v>263</v>
      </c>
      <c r="U8" s="27"/>
      <c r="V8" s="27"/>
      <c r="W8" s="27"/>
      <c r="X8" s="27"/>
    </row>
    <row r="9" s="21" customFormat="1" customHeight="1" spans="2:24">
      <c r="B9" s="28"/>
      <c r="C9" s="28"/>
      <c r="D9" s="28"/>
      <c r="E9" s="28"/>
      <c r="F9" s="28"/>
      <c r="G9" s="28"/>
      <c r="H9" s="28"/>
      <c r="I9" s="28"/>
      <c r="J9" s="28"/>
      <c r="K9" s="28"/>
      <c r="L9" s="28"/>
      <c r="M9" s="28"/>
      <c r="N9" s="28"/>
      <c r="O9" s="28"/>
      <c r="P9" s="28"/>
      <c r="Q9" s="28"/>
      <c r="R9" s="28"/>
      <c r="T9" s="27" t="s">
        <v>264</v>
      </c>
      <c r="U9" s="27"/>
      <c r="V9" s="27"/>
      <c r="W9" s="27"/>
      <c r="X9" s="27"/>
    </row>
    <row r="10" s="21" customFormat="1" customHeight="1" spans="2:24">
      <c r="B10" s="28"/>
      <c r="C10" s="28"/>
      <c r="D10" s="28"/>
      <c r="E10" s="28"/>
      <c r="F10" s="28"/>
      <c r="G10" s="28"/>
      <c r="H10" s="28"/>
      <c r="I10" s="28"/>
      <c r="J10" s="28"/>
      <c r="K10" s="28"/>
      <c r="L10" s="28"/>
      <c r="M10" s="28"/>
      <c r="N10" s="28"/>
      <c r="O10" s="28"/>
      <c r="P10" s="28"/>
      <c r="Q10" s="28"/>
      <c r="R10" s="28"/>
      <c r="T10" s="27" t="s">
        <v>265</v>
      </c>
      <c r="U10" s="27"/>
      <c r="V10" s="27"/>
      <c r="W10" s="27"/>
      <c r="X10" s="27"/>
    </row>
    <row r="11" s="21" customFormat="1" customHeight="1" spans="2:24">
      <c r="B11" s="28"/>
      <c r="C11" s="28"/>
      <c r="D11" s="28"/>
      <c r="E11" s="28"/>
      <c r="F11" s="28"/>
      <c r="G11" s="28"/>
      <c r="H11" s="28"/>
      <c r="I11" s="28"/>
      <c r="J11" s="28"/>
      <c r="K11" s="28"/>
      <c r="L11" s="28"/>
      <c r="M11" s="28"/>
      <c r="N11" s="28"/>
      <c r="O11" s="28"/>
      <c r="P11" s="28"/>
      <c r="Q11" s="28"/>
      <c r="R11" s="28"/>
    </row>
    <row r="12" s="21" customFormat="1" customHeight="1" spans="2:24">
      <c r="B12" s="22" t="s">
        <v>266</v>
      </c>
      <c r="C12" s="22"/>
      <c r="D12" s="22"/>
      <c r="E12" s="22"/>
      <c r="F12" s="22"/>
      <c r="G12" s="22"/>
      <c r="H12" s="22"/>
      <c r="I12" s="22"/>
      <c r="J12" s="22"/>
      <c r="K12" s="22"/>
      <c r="L12" s="22"/>
      <c r="M12" s="22"/>
      <c r="N12" s="22"/>
      <c r="O12" s="22"/>
      <c r="P12" s="22"/>
      <c r="Q12" s="22"/>
      <c r="R12" s="22"/>
    </row>
    <row r="20" s="21" customFormat="1" customHeight="1" spans="2:18">
      <c r="B20" s="29" t="s">
        <v>267</v>
      </c>
      <c r="C20" s="29"/>
      <c r="D20" s="29"/>
      <c r="E20" s="29"/>
      <c r="F20" s="29"/>
      <c r="G20" s="29"/>
      <c r="H20" s="29"/>
      <c r="I20" s="29"/>
      <c r="J20" s="29"/>
      <c r="K20" s="29"/>
      <c r="L20" s="29"/>
      <c r="M20" s="29"/>
      <c r="N20" s="29"/>
      <c r="O20" s="29"/>
      <c r="P20" s="29"/>
      <c r="Q20" s="29"/>
      <c r="R20" s="29"/>
    </row>
    <row r="21" s="21" customFormat="1" customHeight="1" spans="2:18">
      <c r="B21" s="30" t="s">
        <v>268</v>
      </c>
      <c r="C21" s="31"/>
      <c r="D21" s="32" t="s">
        <v>269</v>
      </c>
      <c r="E21" s="32"/>
      <c r="F21" s="32"/>
      <c r="G21" s="32"/>
      <c r="H21" s="32"/>
      <c r="I21" s="32"/>
      <c r="J21" s="32"/>
      <c r="K21" s="32"/>
      <c r="L21" s="32"/>
      <c r="M21" s="32"/>
      <c r="N21" s="32"/>
      <c r="O21" s="32"/>
      <c r="P21" s="32"/>
      <c r="Q21" s="32"/>
      <c r="R21" s="32"/>
    </row>
    <row r="22" s="21" customFormat="1" customHeight="1" spans="2:18">
      <c r="B22" s="33"/>
      <c r="C22" s="34"/>
      <c r="D22" s="32"/>
      <c r="E22" s="32"/>
      <c r="F22" s="32"/>
      <c r="G22" s="32"/>
      <c r="H22" s="32"/>
      <c r="I22" s="32"/>
      <c r="J22" s="32"/>
      <c r="K22" s="32"/>
      <c r="L22" s="32"/>
      <c r="M22" s="32"/>
      <c r="N22" s="32"/>
      <c r="O22" s="32"/>
      <c r="P22" s="32"/>
      <c r="Q22" s="32"/>
      <c r="R22" s="32"/>
    </row>
    <row r="23" s="21" customFormat="1" customHeight="1" spans="2:18">
      <c r="B23" s="30" t="s">
        <v>270</v>
      </c>
      <c r="C23" s="31"/>
      <c r="D23" s="32" t="s">
        <v>271</v>
      </c>
      <c r="E23" s="32"/>
      <c r="F23" s="32"/>
      <c r="G23" s="32"/>
      <c r="H23" s="32"/>
      <c r="I23" s="32"/>
      <c r="J23" s="32"/>
      <c r="K23" s="32"/>
      <c r="L23" s="32"/>
      <c r="M23" s="32"/>
      <c r="N23" s="32"/>
      <c r="O23" s="32"/>
      <c r="P23" s="32"/>
      <c r="Q23" s="32"/>
      <c r="R23" s="32"/>
    </row>
    <row r="24" s="21" customFormat="1" customHeight="1" spans="2:18">
      <c r="B24" s="33"/>
      <c r="C24" s="34"/>
      <c r="D24" s="32"/>
      <c r="E24" s="32"/>
      <c r="F24" s="32"/>
      <c r="G24" s="32"/>
      <c r="H24" s="32"/>
      <c r="I24" s="32"/>
      <c r="J24" s="32"/>
      <c r="K24" s="32"/>
      <c r="L24" s="32"/>
      <c r="M24" s="32"/>
      <c r="N24" s="32"/>
      <c r="O24" s="32"/>
      <c r="P24" s="32"/>
      <c r="Q24" s="32"/>
      <c r="R24" s="32"/>
    </row>
    <row r="25" s="21" customFormat="1" customHeight="1" spans="2:18">
      <c r="B25" s="35"/>
      <c r="C25" s="36"/>
      <c r="D25" s="32"/>
      <c r="E25" s="32"/>
      <c r="F25" s="32"/>
      <c r="G25" s="32"/>
      <c r="H25" s="32"/>
      <c r="I25" s="32"/>
      <c r="J25" s="32"/>
      <c r="K25" s="32"/>
      <c r="L25" s="32"/>
      <c r="M25" s="32"/>
      <c r="N25" s="32"/>
      <c r="O25" s="32"/>
      <c r="P25" s="32"/>
      <c r="Q25" s="32"/>
      <c r="R25" s="32"/>
    </row>
    <row r="26" s="21" customFormat="1" customHeight="1" spans="2:18">
      <c r="B26" s="30" t="s">
        <v>272</v>
      </c>
      <c r="C26" s="31"/>
      <c r="D26" s="32" t="s">
        <v>273</v>
      </c>
      <c r="E26" s="32"/>
      <c r="F26" s="32"/>
      <c r="G26" s="32"/>
      <c r="H26" s="32"/>
      <c r="I26" s="32"/>
      <c r="J26" s="32"/>
      <c r="K26" s="32"/>
      <c r="L26" s="32"/>
      <c r="M26" s="32"/>
      <c r="N26" s="32"/>
      <c r="O26" s="32"/>
      <c r="P26" s="32"/>
      <c r="Q26" s="32"/>
      <c r="R26" s="32"/>
    </row>
    <row r="27" s="21" customFormat="1" customHeight="1" spans="2:18">
      <c r="B27" s="33"/>
      <c r="C27" s="34"/>
      <c r="D27" s="32"/>
      <c r="E27" s="32"/>
      <c r="F27" s="32"/>
      <c r="G27" s="32"/>
      <c r="H27" s="32"/>
      <c r="I27" s="32"/>
      <c r="J27" s="32"/>
      <c r="K27" s="32"/>
      <c r="L27" s="32"/>
      <c r="M27" s="32"/>
      <c r="N27" s="32"/>
      <c r="O27" s="32"/>
      <c r="P27" s="32"/>
      <c r="Q27" s="32"/>
      <c r="R27" s="32"/>
    </row>
    <row r="28" s="21" customFormat="1" customHeight="1" spans="2:18">
      <c r="B28" s="35"/>
      <c r="C28" s="36"/>
      <c r="D28" s="32"/>
      <c r="E28" s="32"/>
      <c r="F28" s="32"/>
      <c r="G28" s="32"/>
      <c r="H28" s="32"/>
      <c r="I28" s="32"/>
      <c r="J28" s="32"/>
      <c r="K28" s="32"/>
      <c r="L28" s="32"/>
      <c r="M28" s="32"/>
      <c r="N28" s="32"/>
      <c r="O28" s="32"/>
      <c r="P28" s="32"/>
      <c r="Q28" s="32"/>
      <c r="R28" s="32"/>
    </row>
    <row r="29" customHeight="1" spans="2:18">
      <c r="B29" s="37" t="s">
        <v>274</v>
      </c>
      <c r="C29" s="38"/>
      <c r="D29" s="39" t="s">
        <v>275</v>
      </c>
      <c r="E29" s="40"/>
      <c r="F29" s="40"/>
      <c r="G29" s="40"/>
      <c r="H29" s="40"/>
      <c r="I29" s="40"/>
      <c r="J29" s="40"/>
      <c r="K29" s="40"/>
      <c r="L29" s="40"/>
      <c r="M29" s="40"/>
      <c r="N29" s="40"/>
      <c r="O29" s="40"/>
      <c r="P29" s="40"/>
      <c r="Q29" s="40"/>
      <c r="R29" s="41"/>
    </row>
  </sheetData>
  <mergeCells count="22">
    <mergeCell ref="B2:R2"/>
    <mergeCell ref="T2:X2"/>
    <mergeCell ref="T3:X3"/>
    <mergeCell ref="T4:X4"/>
    <mergeCell ref="T5:X5"/>
    <mergeCell ref="T6:X6"/>
    <mergeCell ref="T7:X7"/>
    <mergeCell ref="T8:X8"/>
    <mergeCell ref="T9:X9"/>
    <mergeCell ref="T10:X10"/>
    <mergeCell ref="B12:R12"/>
    <mergeCell ref="B20:R20"/>
    <mergeCell ref="B29:C29"/>
    <mergeCell ref="D29:R29"/>
    <mergeCell ref="B3:R5"/>
    <mergeCell ref="B6:R11"/>
    <mergeCell ref="B21:C22"/>
    <mergeCell ref="B23:C25"/>
    <mergeCell ref="D21:R22"/>
    <mergeCell ref="D23:R25"/>
    <mergeCell ref="B26:C28"/>
    <mergeCell ref="D26:R28"/>
  </mergeCells>
  <pageMargins left="0.7" right="0.7" top="0.75" bottom="0.75"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7"/>
  <sheetViews>
    <sheetView zoomScale="70" zoomScaleNormal="70" workbookViewId="0">
      <pane ySplit="2" topLeftCell="A27" activePane="bottomLeft" state="frozen"/>
      <selection/>
      <selection pane="bottomLeft" activeCell="B51" sqref="B51:I51"/>
    </sheetView>
  </sheetViews>
  <sheetFormatPr defaultColWidth="12.5833333333333" defaultRowHeight="20" customHeight="1"/>
  <cols>
    <col min="1" max="1" width="3.33333333333333" style="12" customWidth="1"/>
    <col min="2" max="2" width="15.5833333333333" style="13" customWidth="1"/>
    <col min="3" max="3" width="12.5833333333333" style="14" customWidth="1"/>
    <col min="4" max="4" width="7.58333333333333" style="12" customWidth="1"/>
    <col min="5" max="5" width="15.5833333333333" style="12" customWidth="1"/>
    <col min="6" max="6" width="7.58333333333333" style="12" customWidth="1"/>
    <col min="7" max="7" width="15.5833333333333" style="12" customWidth="1"/>
    <col min="8" max="9" width="40.5833333333333" style="12" customWidth="1"/>
    <col min="10" max="16383" width="12.5833333333333" style="12" customWidth="1"/>
    <col min="16384" max="16384" width="12.5833333333333" style="12"/>
  </cols>
  <sheetData>
    <row r="1" s="10" customFormat="1" customHeight="1" spans="2:9">
      <c r="B1" s="13"/>
      <c r="C1" s="15"/>
    </row>
    <row r="2" s="11" customFormat="1" customHeight="1" spans="2:9">
      <c r="B2" s="16" t="s">
        <v>242</v>
      </c>
      <c r="C2" s="16" t="s">
        <v>241</v>
      </c>
      <c r="D2" s="16" t="s">
        <v>245</v>
      </c>
      <c r="E2" s="16" t="s">
        <v>246</v>
      </c>
      <c r="F2" s="16" t="s">
        <v>247</v>
      </c>
      <c r="G2" s="16" t="s">
        <v>248</v>
      </c>
      <c r="H2" s="16" t="s">
        <v>276</v>
      </c>
      <c r="I2" s="16" t="s">
        <v>249</v>
      </c>
    </row>
    <row r="3" customHeight="1" spans="2:9">
      <c r="B3" s="17" t="s">
        <v>277</v>
      </c>
      <c r="C3" s="18" t="s">
        <v>251</v>
      </c>
      <c r="D3" s="19">
        <v>6</v>
      </c>
      <c r="E3" s="19" t="s">
        <v>278</v>
      </c>
      <c r="F3" s="19" t="s">
        <v>279</v>
      </c>
      <c r="G3" s="19" t="s">
        <v>280</v>
      </c>
      <c r="H3" s="19" t="s">
        <v>281</v>
      </c>
      <c r="I3" s="19" t="s">
        <v>282</v>
      </c>
    </row>
    <row r="4" customHeight="1" spans="2:9">
      <c r="B4" s="17" t="s">
        <v>283</v>
      </c>
      <c r="C4" s="18" t="s">
        <v>251</v>
      </c>
      <c r="D4" s="19">
        <v>8</v>
      </c>
      <c r="E4" s="19" t="s">
        <v>284</v>
      </c>
      <c r="F4" s="19" t="s">
        <v>101</v>
      </c>
      <c r="G4" s="19" t="s">
        <v>285</v>
      </c>
      <c r="H4" s="19" t="s">
        <v>286</v>
      </c>
      <c r="I4" s="19" t="s">
        <v>287</v>
      </c>
    </row>
    <row r="5" customHeight="1" spans="2:9">
      <c r="B5" s="17" t="s">
        <v>288</v>
      </c>
      <c r="C5" s="18" t="s">
        <v>251</v>
      </c>
      <c r="D5" s="19">
        <v>7</v>
      </c>
      <c r="E5" s="19" t="s">
        <v>284</v>
      </c>
      <c r="F5" s="19" t="s">
        <v>101</v>
      </c>
      <c r="G5" s="19" t="s">
        <v>289</v>
      </c>
      <c r="H5" s="19" t="s">
        <v>290</v>
      </c>
      <c r="I5" s="19" t="s">
        <v>291</v>
      </c>
    </row>
    <row r="6" customHeight="1" spans="2:9">
      <c r="B6" s="17" t="s">
        <v>292</v>
      </c>
      <c r="C6" s="18" t="s">
        <v>251</v>
      </c>
      <c r="D6" s="19">
        <v>8</v>
      </c>
      <c r="E6" s="19" t="s">
        <v>278</v>
      </c>
      <c r="F6" s="19" t="s">
        <v>101</v>
      </c>
      <c r="G6" s="19" t="s">
        <v>289</v>
      </c>
      <c r="H6" s="19" t="s">
        <v>293</v>
      </c>
      <c r="I6" s="19" t="s">
        <v>294</v>
      </c>
    </row>
    <row r="7" customHeight="1" spans="2:9">
      <c r="B7" s="17" t="s">
        <v>295</v>
      </c>
      <c r="C7" s="18" t="s">
        <v>251</v>
      </c>
      <c r="D7" s="19">
        <v>7</v>
      </c>
      <c r="E7" s="19" t="s">
        <v>278</v>
      </c>
      <c r="F7" s="19" t="s">
        <v>101</v>
      </c>
      <c r="G7" s="19" t="s">
        <v>285</v>
      </c>
      <c r="H7" s="19" t="s">
        <v>296</v>
      </c>
      <c r="I7" s="19" t="s">
        <v>282</v>
      </c>
    </row>
    <row r="8" customHeight="1" spans="2:9">
      <c r="B8" s="17" t="s">
        <v>297</v>
      </c>
      <c r="C8" s="18" t="s">
        <v>251</v>
      </c>
      <c r="D8" s="19">
        <v>5</v>
      </c>
      <c r="E8" s="19" t="s">
        <v>284</v>
      </c>
      <c r="F8" s="19" t="s">
        <v>279</v>
      </c>
      <c r="G8" s="19" t="s">
        <v>280</v>
      </c>
      <c r="H8" s="19" t="s">
        <v>298</v>
      </c>
      <c r="I8" s="19" t="s">
        <v>282</v>
      </c>
    </row>
    <row r="9" customHeight="1" spans="2:9">
      <c r="B9" s="17" t="s">
        <v>299</v>
      </c>
      <c r="C9" s="18" t="s">
        <v>251</v>
      </c>
      <c r="D9" s="19">
        <v>8</v>
      </c>
      <c r="E9" s="19" t="s">
        <v>278</v>
      </c>
      <c r="F9" s="19" t="s">
        <v>279</v>
      </c>
      <c r="G9" s="19" t="s">
        <v>285</v>
      </c>
      <c r="H9" s="19" t="s">
        <v>300</v>
      </c>
      <c r="I9" s="19" t="s">
        <v>301</v>
      </c>
    </row>
    <row r="10" customHeight="1" spans="2:9">
      <c r="B10" s="17" t="s">
        <v>302</v>
      </c>
      <c r="C10" s="18" t="s">
        <v>251</v>
      </c>
      <c r="D10" s="19">
        <v>6</v>
      </c>
      <c r="E10" s="19" t="s">
        <v>284</v>
      </c>
      <c r="F10" s="19" t="s">
        <v>101</v>
      </c>
      <c r="G10" s="19" t="s">
        <v>303</v>
      </c>
      <c r="H10" s="19" t="s">
        <v>304</v>
      </c>
      <c r="I10" s="19" t="s">
        <v>305</v>
      </c>
    </row>
    <row r="11" customHeight="1" spans="2:9">
      <c r="B11" s="17" t="s">
        <v>306</v>
      </c>
      <c r="C11" s="18" t="s">
        <v>251</v>
      </c>
      <c r="D11" s="19">
        <v>7</v>
      </c>
      <c r="E11" s="19" t="s">
        <v>284</v>
      </c>
      <c r="F11" s="19" t="s">
        <v>279</v>
      </c>
      <c r="G11" s="19" t="s">
        <v>280</v>
      </c>
      <c r="H11" s="19" t="s">
        <v>307</v>
      </c>
      <c r="I11" s="19" t="s">
        <v>282</v>
      </c>
    </row>
    <row r="12" customHeight="1" spans="2:9">
      <c r="B12" s="17" t="s">
        <v>308</v>
      </c>
      <c r="C12" s="18" t="s">
        <v>251</v>
      </c>
      <c r="D12" s="19">
        <v>6</v>
      </c>
      <c r="E12" s="19" t="s">
        <v>309</v>
      </c>
      <c r="F12" s="19" t="s">
        <v>101</v>
      </c>
      <c r="G12" s="19" t="s">
        <v>280</v>
      </c>
      <c r="H12" s="19" t="s">
        <v>310</v>
      </c>
      <c r="I12" s="19" t="s">
        <v>282</v>
      </c>
    </row>
    <row r="13" customHeight="1" spans="2:9">
      <c r="B13" s="17" t="s">
        <v>311</v>
      </c>
      <c r="C13" s="18" t="s">
        <v>251</v>
      </c>
      <c r="D13" s="19">
        <v>6</v>
      </c>
      <c r="E13" s="19" t="s">
        <v>278</v>
      </c>
      <c r="F13" s="19" t="s">
        <v>101</v>
      </c>
      <c r="G13" s="19" t="s">
        <v>312</v>
      </c>
      <c r="H13" s="19" t="s">
        <v>313</v>
      </c>
      <c r="I13" s="19" t="s">
        <v>314</v>
      </c>
    </row>
    <row r="14" customHeight="1" spans="2:9">
      <c r="B14" s="17" t="s">
        <v>315</v>
      </c>
      <c r="C14" s="18" t="s">
        <v>251</v>
      </c>
      <c r="D14" s="19">
        <v>8</v>
      </c>
      <c r="E14" s="19" t="s">
        <v>284</v>
      </c>
      <c r="F14" s="19" t="s">
        <v>101</v>
      </c>
      <c r="G14" s="19" t="s">
        <v>280</v>
      </c>
      <c r="H14" s="19" t="s">
        <v>316</v>
      </c>
      <c r="I14" s="19" t="s">
        <v>282</v>
      </c>
    </row>
    <row r="15" customHeight="1" spans="2:9">
      <c r="B15" s="17" t="s">
        <v>317</v>
      </c>
      <c r="C15" s="18" t="s">
        <v>251</v>
      </c>
      <c r="D15" s="19">
        <v>7</v>
      </c>
      <c r="E15" s="19" t="s">
        <v>284</v>
      </c>
      <c r="F15" s="19" t="s">
        <v>279</v>
      </c>
      <c r="G15" s="19" t="s">
        <v>289</v>
      </c>
      <c r="H15" s="19" t="s">
        <v>318</v>
      </c>
      <c r="I15" s="19" t="s">
        <v>319</v>
      </c>
    </row>
    <row r="16" customHeight="1" spans="2:9">
      <c r="B16" s="17" t="s">
        <v>320</v>
      </c>
      <c r="C16" s="18" t="s">
        <v>251</v>
      </c>
      <c r="D16" s="19">
        <v>5</v>
      </c>
      <c r="E16" s="19" t="s">
        <v>284</v>
      </c>
      <c r="F16" s="19" t="s">
        <v>279</v>
      </c>
      <c r="G16" s="19" t="s">
        <v>280</v>
      </c>
      <c r="H16" s="19" t="s">
        <v>321</v>
      </c>
      <c r="I16" s="19" t="s">
        <v>322</v>
      </c>
    </row>
    <row r="17" customHeight="1" spans="2:9">
      <c r="B17" s="17" t="s">
        <v>323</v>
      </c>
      <c r="C17" s="18" t="s">
        <v>251</v>
      </c>
      <c r="D17" s="19">
        <v>6</v>
      </c>
      <c r="E17" s="19" t="s">
        <v>284</v>
      </c>
      <c r="F17" s="19" t="s">
        <v>101</v>
      </c>
      <c r="G17" s="19" t="s">
        <v>280</v>
      </c>
      <c r="H17" s="19" t="s">
        <v>324</v>
      </c>
      <c r="I17" s="19" t="s">
        <v>282</v>
      </c>
    </row>
    <row r="18" customHeight="1" spans="2:9">
      <c r="B18" s="17" t="s">
        <v>325</v>
      </c>
      <c r="C18" s="18" t="s">
        <v>251</v>
      </c>
      <c r="D18" s="19">
        <v>9</v>
      </c>
      <c r="E18" s="19" t="s">
        <v>278</v>
      </c>
      <c r="F18" s="19" t="s">
        <v>101</v>
      </c>
      <c r="G18" s="19" t="s">
        <v>326</v>
      </c>
      <c r="H18" s="19" t="s">
        <v>327</v>
      </c>
      <c r="I18" s="19" t="s">
        <v>328</v>
      </c>
    </row>
    <row r="19" customHeight="1" spans="2:9">
      <c r="B19" s="17" t="s">
        <v>329</v>
      </c>
      <c r="C19" s="18" t="s">
        <v>251</v>
      </c>
      <c r="D19" s="19">
        <v>8</v>
      </c>
      <c r="E19" s="19" t="s">
        <v>284</v>
      </c>
      <c r="F19" s="19" t="s">
        <v>101</v>
      </c>
      <c r="G19" s="19" t="s">
        <v>330</v>
      </c>
      <c r="H19" s="19" t="s">
        <v>331</v>
      </c>
      <c r="I19" s="19" t="s">
        <v>282</v>
      </c>
    </row>
    <row r="20" customHeight="1" spans="2:9">
      <c r="B20" s="17" t="s">
        <v>332</v>
      </c>
      <c r="C20" s="18" t="s">
        <v>251</v>
      </c>
      <c r="D20" s="19">
        <v>7</v>
      </c>
      <c r="E20" s="19" t="s">
        <v>278</v>
      </c>
      <c r="F20" s="19" t="s">
        <v>279</v>
      </c>
      <c r="G20" s="19" t="s">
        <v>280</v>
      </c>
      <c r="H20" s="19" t="s">
        <v>333</v>
      </c>
      <c r="I20" s="19" t="s">
        <v>334</v>
      </c>
    </row>
    <row r="21" customHeight="1" spans="2:9">
      <c r="B21" s="17" t="s">
        <v>335</v>
      </c>
      <c r="C21" s="18" t="s">
        <v>251</v>
      </c>
      <c r="D21" s="19">
        <v>5</v>
      </c>
      <c r="E21" s="19" t="s">
        <v>284</v>
      </c>
      <c r="F21" s="19" t="s">
        <v>101</v>
      </c>
      <c r="G21" s="19" t="s">
        <v>336</v>
      </c>
      <c r="H21" s="19" t="s">
        <v>337</v>
      </c>
      <c r="I21" s="19" t="s">
        <v>282</v>
      </c>
    </row>
    <row r="22" customHeight="1" spans="2:9">
      <c r="B22" s="17" t="s">
        <v>338</v>
      </c>
      <c r="C22" s="18" t="s">
        <v>251</v>
      </c>
      <c r="D22" s="19">
        <v>8</v>
      </c>
      <c r="E22" s="19" t="s">
        <v>284</v>
      </c>
      <c r="F22" s="19" t="s">
        <v>101</v>
      </c>
      <c r="G22" s="19" t="s">
        <v>285</v>
      </c>
      <c r="H22" s="19" t="s">
        <v>339</v>
      </c>
      <c r="I22" s="19" t="s">
        <v>340</v>
      </c>
    </row>
    <row r="23" customHeight="1" spans="2:9">
      <c r="B23" s="17" t="s">
        <v>341</v>
      </c>
      <c r="C23" s="18" t="s">
        <v>251</v>
      </c>
      <c r="D23" s="19">
        <v>8</v>
      </c>
      <c r="E23" s="19" t="s">
        <v>342</v>
      </c>
      <c r="F23" s="19" t="s">
        <v>101</v>
      </c>
      <c r="G23" s="19" t="s">
        <v>280</v>
      </c>
      <c r="H23" s="19" t="s">
        <v>343</v>
      </c>
      <c r="I23" s="19" t="s">
        <v>282</v>
      </c>
    </row>
    <row r="24" customHeight="1" spans="2:9">
      <c r="B24" s="17" t="s">
        <v>344</v>
      </c>
      <c r="C24" s="18" t="s">
        <v>251</v>
      </c>
      <c r="D24" s="19">
        <v>8</v>
      </c>
      <c r="E24" s="19" t="s">
        <v>284</v>
      </c>
      <c r="F24" s="19" t="s">
        <v>279</v>
      </c>
      <c r="G24" s="19" t="s">
        <v>280</v>
      </c>
      <c r="H24" s="19" t="s">
        <v>345</v>
      </c>
      <c r="I24" s="19" t="s">
        <v>282</v>
      </c>
    </row>
    <row r="25" customHeight="1" spans="2:9">
      <c r="B25" s="17" t="s">
        <v>346</v>
      </c>
      <c r="C25" s="18" t="s">
        <v>251</v>
      </c>
      <c r="D25" s="19">
        <v>10</v>
      </c>
      <c r="E25" s="19" t="s">
        <v>278</v>
      </c>
      <c r="F25" s="19" t="s">
        <v>101</v>
      </c>
      <c r="G25" s="19" t="s">
        <v>330</v>
      </c>
      <c r="H25" s="19" t="s">
        <v>347</v>
      </c>
      <c r="I25" s="19" t="s">
        <v>282</v>
      </c>
    </row>
    <row r="26" customHeight="1" spans="2:9">
      <c r="B26" s="17" t="s">
        <v>348</v>
      </c>
      <c r="C26" s="18" t="s">
        <v>251</v>
      </c>
      <c r="D26" s="19">
        <v>6</v>
      </c>
      <c r="E26" s="19" t="s">
        <v>284</v>
      </c>
      <c r="F26" s="19" t="s">
        <v>101</v>
      </c>
      <c r="G26" s="19" t="s">
        <v>285</v>
      </c>
      <c r="H26" s="19" t="s">
        <v>349</v>
      </c>
      <c r="I26" s="19" t="s">
        <v>350</v>
      </c>
    </row>
    <row r="27" customHeight="1" spans="2:9">
      <c r="B27" s="17" t="s">
        <v>351</v>
      </c>
      <c r="C27" s="18" t="s">
        <v>251</v>
      </c>
      <c r="D27" s="19">
        <v>9</v>
      </c>
      <c r="E27" s="19" t="s">
        <v>278</v>
      </c>
      <c r="F27" s="19" t="s">
        <v>279</v>
      </c>
      <c r="G27" s="19" t="s">
        <v>330</v>
      </c>
      <c r="H27" s="19" t="s">
        <v>352</v>
      </c>
      <c r="I27" s="19" t="s">
        <v>353</v>
      </c>
    </row>
    <row r="28" customHeight="1" spans="2:9">
      <c r="B28" s="17" t="s">
        <v>354</v>
      </c>
      <c r="C28" s="18" t="s">
        <v>251</v>
      </c>
      <c r="D28" s="19">
        <v>7</v>
      </c>
      <c r="E28" s="19" t="s">
        <v>284</v>
      </c>
      <c r="F28" s="19" t="s">
        <v>101</v>
      </c>
      <c r="G28" s="19" t="s">
        <v>280</v>
      </c>
      <c r="H28" s="19" t="s">
        <v>355</v>
      </c>
      <c r="I28" s="19" t="s">
        <v>282</v>
      </c>
    </row>
    <row r="29" customHeight="1" spans="2:9">
      <c r="B29" s="17" t="s">
        <v>356</v>
      </c>
      <c r="C29" s="18" t="s">
        <v>251</v>
      </c>
      <c r="D29" s="19">
        <v>8</v>
      </c>
      <c r="E29" s="19" t="s">
        <v>278</v>
      </c>
      <c r="F29" s="19" t="s">
        <v>101</v>
      </c>
      <c r="G29" s="19" t="s">
        <v>289</v>
      </c>
      <c r="H29" s="19" t="s">
        <v>357</v>
      </c>
      <c r="I29" s="19" t="s">
        <v>301</v>
      </c>
    </row>
    <row r="30" customHeight="1" spans="2:9">
      <c r="B30" s="17" t="s">
        <v>358</v>
      </c>
      <c r="C30" s="18" t="s">
        <v>251</v>
      </c>
      <c r="D30" s="19">
        <v>11</v>
      </c>
      <c r="E30" s="19" t="s">
        <v>278</v>
      </c>
      <c r="F30" s="19" t="s">
        <v>101</v>
      </c>
      <c r="G30" s="19" t="s">
        <v>359</v>
      </c>
      <c r="H30" s="19" t="s">
        <v>360</v>
      </c>
      <c r="I30" s="19" t="s">
        <v>361</v>
      </c>
    </row>
    <row r="31" customHeight="1" spans="2:9">
      <c r="B31" s="17" t="s">
        <v>362</v>
      </c>
      <c r="C31" s="18" t="s">
        <v>251</v>
      </c>
      <c r="D31" s="19">
        <v>6</v>
      </c>
      <c r="E31" s="19" t="s">
        <v>284</v>
      </c>
      <c r="F31" s="19" t="s">
        <v>279</v>
      </c>
      <c r="G31" s="19" t="s">
        <v>280</v>
      </c>
      <c r="H31" s="19" t="s">
        <v>363</v>
      </c>
      <c r="I31" s="19" t="s">
        <v>282</v>
      </c>
    </row>
    <row r="32" customHeight="1" spans="2:9">
      <c r="B32" s="17" t="s">
        <v>364</v>
      </c>
      <c r="C32" s="18" t="s">
        <v>251</v>
      </c>
      <c r="D32" s="19">
        <v>8</v>
      </c>
      <c r="E32" s="19" t="s">
        <v>284</v>
      </c>
      <c r="F32" s="19" t="s">
        <v>279</v>
      </c>
      <c r="G32" s="19" t="s">
        <v>359</v>
      </c>
      <c r="H32" s="19" t="s">
        <v>365</v>
      </c>
      <c r="I32" s="19" t="s">
        <v>361</v>
      </c>
    </row>
    <row r="33" customHeight="1" spans="2:9">
      <c r="B33" s="17" t="s">
        <v>366</v>
      </c>
      <c r="C33" s="18" t="s">
        <v>251</v>
      </c>
      <c r="D33" s="19">
        <v>5</v>
      </c>
      <c r="E33" s="19" t="s">
        <v>284</v>
      </c>
      <c r="F33" s="19" t="s">
        <v>101</v>
      </c>
      <c r="G33" s="19" t="s">
        <v>367</v>
      </c>
      <c r="H33" s="19" t="s">
        <v>368</v>
      </c>
      <c r="I33" s="19" t="s">
        <v>282</v>
      </c>
    </row>
    <row r="34" customHeight="1" spans="2:9">
      <c r="B34" s="17" t="s">
        <v>369</v>
      </c>
      <c r="C34" s="18" t="s">
        <v>251</v>
      </c>
      <c r="D34" s="19">
        <v>8</v>
      </c>
      <c r="E34" s="19" t="s">
        <v>284</v>
      </c>
      <c r="F34" s="19" t="s">
        <v>279</v>
      </c>
      <c r="G34" s="19" t="s">
        <v>280</v>
      </c>
      <c r="H34" s="19" t="s">
        <v>370</v>
      </c>
      <c r="I34" s="19" t="s">
        <v>282</v>
      </c>
    </row>
    <row r="35" customHeight="1" spans="2:9">
      <c r="B35" s="17" t="s">
        <v>371</v>
      </c>
      <c r="C35" s="18" t="s">
        <v>251</v>
      </c>
      <c r="D35" s="19">
        <v>8</v>
      </c>
      <c r="E35" s="19" t="s">
        <v>284</v>
      </c>
      <c r="F35" s="19" t="s">
        <v>279</v>
      </c>
      <c r="G35" s="19" t="s">
        <v>280</v>
      </c>
      <c r="H35" s="19" t="s">
        <v>372</v>
      </c>
      <c r="I35" s="19" t="s">
        <v>282</v>
      </c>
    </row>
    <row r="36" customHeight="1" spans="2:9">
      <c r="B36" s="17" t="s">
        <v>373</v>
      </c>
      <c r="C36" s="18" t="s">
        <v>251</v>
      </c>
      <c r="D36" s="19">
        <v>9</v>
      </c>
      <c r="E36" s="19" t="s">
        <v>284</v>
      </c>
      <c r="F36" s="19" t="s">
        <v>101</v>
      </c>
      <c r="G36" s="19" t="s">
        <v>285</v>
      </c>
      <c r="H36" s="19" t="s">
        <v>374</v>
      </c>
      <c r="I36" s="19" t="s">
        <v>282</v>
      </c>
    </row>
    <row r="37" customHeight="1" spans="2:9">
      <c r="B37" s="17" t="s">
        <v>375</v>
      </c>
      <c r="C37" s="18" t="s">
        <v>251</v>
      </c>
      <c r="D37" s="19">
        <v>11</v>
      </c>
      <c r="E37" s="19" t="s">
        <v>284</v>
      </c>
      <c r="F37" s="19" t="s">
        <v>101</v>
      </c>
      <c r="G37" s="19" t="s">
        <v>280</v>
      </c>
      <c r="H37" s="19" t="s">
        <v>376</v>
      </c>
      <c r="I37" s="19" t="s">
        <v>282</v>
      </c>
    </row>
    <row r="38" customHeight="1" spans="2:9">
      <c r="B38" s="17" t="s">
        <v>377</v>
      </c>
      <c r="C38" s="18" t="s">
        <v>251</v>
      </c>
      <c r="D38" s="19">
        <v>9</v>
      </c>
      <c r="E38" s="19" t="s">
        <v>284</v>
      </c>
      <c r="F38" s="19" t="s">
        <v>101</v>
      </c>
      <c r="G38" s="19" t="s">
        <v>378</v>
      </c>
      <c r="H38" s="19" t="s">
        <v>379</v>
      </c>
      <c r="I38" s="19" t="s">
        <v>282</v>
      </c>
    </row>
    <row r="39" customHeight="1" spans="2:9">
      <c r="B39" s="17" t="s">
        <v>380</v>
      </c>
      <c r="C39" s="18" t="s">
        <v>251</v>
      </c>
      <c r="D39" s="19">
        <v>13</v>
      </c>
      <c r="E39" s="19" t="s">
        <v>278</v>
      </c>
      <c r="F39" s="19" t="s">
        <v>101</v>
      </c>
      <c r="G39" s="19" t="s">
        <v>280</v>
      </c>
      <c r="H39" s="19" t="s">
        <v>381</v>
      </c>
      <c r="I39" s="19" t="s">
        <v>282</v>
      </c>
    </row>
    <row r="40" customHeight="1" spans="2:9">
      <c r="B40" s="17" t="s">
        <v>382</v>
      </c>
      <c r="C40" s="18" t="s">
        <v>251</v>
      </c>
      <c r="D40" s="19">
        <v>9</v>
      </c>
      <c r="E40" s="19" t="s">
        <v>278</v>
      </c>
      <c r="F40" s="19" t="s">
        <v>101</v>
      </c>
      <c r="G40" s="19" t="s">
        <v>336</v>
      </c>
      <c r="H40" s="19" t="s">
        <v>383</v>
      </c>
      <c r="I40" s="19" t="s">
        <v>282</v>
      </c>
    </row>
    <row r="41" customHeight="1" spans="2:9">
      <c r="B41" s="17" t="s">
        <v>384</v>
      </c>
      <c r="C41" s="18" t="s">
        <v>251</v>
      </c>
      <c r="D41" s="19">
        <v>6</v>
      </c>
      <c r="E41" s="19" t="s">
        <v>278</v>
      </c>
      <c r="F41" s="19" t="s">
        <v>101</v>
      </c>
      <c r="G41" s="19" t="s">
        <v>336</v>
      </c>
      <c r="H41" s="19" t="s">
        <v>385</v>
      </c>
      <c r="I41" s="19" t="s">
        <v>282</v>
      </c>
    </row>
    <row r="42" customHeight="1" spans="2:9">
      <c r="B42" s="17" t="s">
        <v>386</v>
      </c>
      <c r="C42" s="18" t="s">
        <v>251</v>
      </c>
      <c r="D42" s="19">
        <v>6</v>
      </c>
      <c r="E42" s="19" t="s">
        <v>278</v>
      </c>
      <c r="F42" s="19" t="s">
        <v>279</v>
      </c>
      <c r="G42" s="19" t="s">
        <v>336</v>
      </c>
      <c r="H42" s="19" t="s">
        <v>387</v>
      </c>
      <c r="I42" s="19" t="s">
        <v>282</v>
      </c>
    </row>
    <row r="43" customHeight="1" spans="2:9">
      <c r="B43" s="17" t="s">
        <v>388</v>
      </c>
      <c r="C43" s="18" t="s">
        <v>251</v>
      </c>
      <c r="D43" s="19">
        <v>10</v>
      </c>
      <c r="E43" s="19" t="s">
        <v>278</v>
      </c>
      <c r="F43" s="19" t="s">
        <v>101</v>
      </c>
      <c r="G43" s="19" t="s">
        <v>336</v>
      </c>
      <c r="H43" s="19" t="s">
        <v>389</v>
      </c>
      <c r="I43" s="19" t="s">
        <v>282</v>
      </c>
    </row>
    <row r="44" customHeight="1" spans="2:9">
      <c r="B44" s="17" t="s">
        <v>390</v>
      </c>
      <c r="C44" s="18" t="s">
        <v>251</v>
      </c>
      <c r="D44" s="19">
        <v>10</v>
      </c>
      <c r="E44" s="19" t="s">
        <v>278</v>
      </c>
      <c r="F44" s="19" t="s">
        <v>101</v>
      </c>
      <c r="G44" s="19" t="s">
        <v>391</v>
      </c>
      <c r="H44" s="19" t="s">
        <v>392</v>
      </c>
      <c r="I44" s="19" t="s">
        <v>393</v>
      </c>
    </row>
    <row r="45" customHeight="1" spans="2:9">
      <c r="B45" s="17" t="s">
        <v>394</v>
      </c>
      <c r="C45" s="18" t="s">
        <v>251</v>
      </c>
      <c r="D45" s="19">
        <v>8</v>
      </c>
      <c r="E45" s="19" t="s">
        <v>278</v>
      </c>
      <c r="F45" s="19" t="s">
        <v>279</v>
      </c>
      <c r="G45" s="19" t="s">
        <v>280</v>
      </c>
      <c r="H45" s="19" t="s">
        <v>395</v>
      </c>
      <c r="I45" s="19" t="s">
        <v>396</v>
      </c>
    </row>
    <row r="46" customHeight="1" spans="2:9">
      <c r="B46" s="17" t="s">
        <v>397</v>
      </c>
      <c r="C46" s="18" t="s">
        <v>251</v>
      </c>
      <c r="D46" s="19">
        <v>7</v>
      </c>
      <c r="E46" s="19" t="s">
        <v>284</v>
      </c>
      <c r="F46" s="19" t="s">
        <v>279</v>
      </c>
      <c r="G46" s="19" t="s">
        <v>289</v>
      </c>
      <c r="H46" s="19" t="s">
        <v>398</v>
      </c>
      <c r="I46" s="19" t="s">
        <v>319</v>
      </c>
    </row>
    <row r="47" customHeight="1" spans="2:9">
      <c r="B47" s="17" t="s">
        <v>399</v>
      </c>
      <c r="C47" s="18" t="s">
        <v>251</v>
      </c>
      <c r="D47" s="19">
        <v>7</v>
      </c>
      <c r="E47" s="19" t="s">
        <v>278</v>
      </c>
      <c r="F47" s="19" t="s">
        <v>279</v>
      </c>
      <c r="G47" s="19" t="s">
        <v>280</v>
      </c>
      <c r="H47" s="19" t="s">
        <v>400</v>
      </c>
      <c r="I47" s="19" t="s">
        <v>401</v>
      </c>
    </row>
    <row r="48" customHeight="1" spans="2:9">
      <c r="B48" s="17" t="s">
        <v>402</v>
      </c>
      <c r="C48" s="18" t="s">
        <v>251</v>
      </c>
      <c r="D48" s="19">
        <v>6</v>
      </c>
      <c r="E48" s="19" t="s">
        <v>278</v>
      </c>
      <c r="F48" s="19" t="s">
        <v>279</v>
      </c>
      <c r="G48" s="19" t="s">
        <v>336</v>
      </c>
      <c r="H48" s="19" t="s">
        <v>403</v>
      </c>
      <c r="I48" s="19" t="s">
        <v>404</v>
      </c>
    </row>
    <row r="49" customHeight="1" spans="2:9">
      <c r="B49" s="17" t="s">
        <v>405</v>
      </c>
      <c r="C49" s="18" t="s">
        <v>251</v>
      </c>
      <c r="D49" s="19">
        <v>5</v>
      </c>
      <c r="E49" s="19" t="s">
        <v>284</v>
      </c>
      <c r="F49" s="19" t="s">
        <v>101</v>
      </c>
      <c r="G49" s="19" t="s">
        <v>303</v>
      </c>
      <c r="H49" s="19" t="s">
        <v>406</v>
      </c>
      <c r="I49" s="19" t="s">
        <v>407</v>
      </c>
    </row>
    <row r="50" customHeight="1" spans="2:9">
      <c r="B50" s="17" t="s">
        <v>408</v>
      </c>
      <c r="C50" s="18" t="s">
        <v>251</v>
      </c>
      <c r="D50" s="19">
        <v>6</v>
      </c>
      <c r="E50" s="19" t="s">
        <v>284</v>
      </c>
      <c r="F50" s="19" t="s">
        <v>279</v>
      </c>
      <c r="G50" s="19" t="s">
        <v>280</v>
      </c>
      <c r="H50" s="19" t="s">
        <v>409</v>
      </c>
      <c r="I50" s="19" t="s">
        <v>282</v>
      </c>
    </row>
    <row r="51" customHeight="1" spans="2:9">
      <c r="B51" s="17" t="s">
        <v>410</v>
      </c>
      <c r="C51" s="18" t="s">
        <v>251</v>
      </c>
      <c r="D51" s="19">
        <v>10</v>
      </c>
      <c r="E51" s="19" t="s">
        <v>278</v>
      </c>
      <c r="F51" s="19" t="s">
        <v>279</v>
      </c>
      <c r="G51" s="19" t="s">
        <v>289</v>
      </c>
      <c r="H51" s="20" t="s">
        <v>411</v>
      </c>
      <c r="I51" s="19" t="s">
        <v>412</v>
      </c>
    </row>
    <row r="52" customHeight="1" spans="2:9">
      <c r="B52" s="17" t="s">
        <v>413</v>
      </c>
      <c r="C52" s="18" t="s">
        <v>414</v>
      </c>
      <c r="D52" s="19">
        <v>19</v>
      </c>
      <c r="E52" s="19" t="s">
        <v>284</v>
      </c>
      <c r="F52" s="19" t="s">
        <v>279</v>
      </c>
      <c r="G52" s="19" t="s">
        <v>285</v>
      </c>
      <c r="H52" s="19" t="s">
        <v>415</v>
      </c>
      <c r="I52" s="19" t="s">
        <v>416</v>
      </c>
    </row>
    <row r="53" customHeight="1" spans="2:9">
      <c r="B53" s="17" t="s">
        <v>417</v>
      </c>
      <c r="C53" s="18" t="s">
        <v>414</v>
      </c>
      <c r="D53" s="19">
        <v>20</v>
      </c>
      <c r="E53" s="19" t="s">
        <v>284</v>
      </c>
      <c r="F53" s="19" t="s">
        <v>101</v>
      </c>
      <c r="G53" s="19" t="s">
        <v>285</v>
      </c>
      <c r="H53" s="19" t="s">
        <v>418</v>
      </c>
      <c r="I53" s="19" t="s">
        <v>419</v>
      </c>
    </row>
    <row r="54" customHeight="1" spans="2:9">
      <c r="B54" s="17" t="s">
        <v>420</v>
      </c>
      <c r="C54" s="18" t="s">
        <v>414</v>
      </c>
      <c r="D54" s="19">
        <v>10</v>
      </c>
      <c r="E54" s="19" t="s">
        <v>284</v>
      </c>
      <c r="F54" s="19" t="s">
        <v>279</v>
      </c>
      <c r="G54" s="19" t="s">
        <v>280</v>
      </c>
      <c r="H54" s="19" t="s">
        <v>421</v>
      </c>
      <c r="I54" s="19" t="s">
        <v>422</v>
      </c>
    </row>
    <row r="55" customHeight="1" spans="2:9">
      <c r="B55" s="17" t="s">
        <v>423</v>
      </c>
      <c r="C55" s="18" t="s">
        <v>414</v>
      </c>
      <c r="D55" s="19">
        <v>19</v>
      </c>
      <c r="E55" s="19" t="s">
        <v>278</v>
      </c>
      <c r="F55" s="19" t="s">
        <v>279</v>
      </c>
      <c r="G55" s="19" t="s">
        <v>280</v>
      </c>
      <c r="H55" s="19" t="s">
        <v>424</v>
      </c>
      <c r="I55" s="19" t="s">
        <v>282</v>
      </c>
    </row>
    <row r="56" customHeight="1" spans="2:9">
      <c r="B56" s="17" t="s">
        <v>425</v>
      </c>
      <c r="C56" s="18" t="s">
        <v>414</v>
      </c>
      <c r="D56" s="19">
        <v>14</v>
      </c>
      <c r="E56" s="19" t="s">
        <v>284</v>
      </c>
      <c r="F56" s="19" t="s">
        <v>101</v>
      </c>
      <c r="G56" s="19" t="s">
        <v>285</v>
      </c>
      <c r="H56" s="19" t="s">
        <v>426</v>
      </c>
      <c r="I56" s="19" t="s">
        <v>427</v>
      </c>
    </row>
    <row r="57" customHeight="1" spans="2:9">
      <c r="B57" s="17" t="s">
        <v>428</v>
      </c>
      <c r="C57" s="18" t="s">
        <v>414</v>
      </c>
      <c r="D57" s="19">
        <v>15</v>
      </c>
      <c r="E57" s="19" t="s">
        <v>278</v>
      </c>
      <c r="F57" s="19" t="s">
        <v>279</v>
      </c>
      <c r="G57" s="19" t="s">
        <v>280</v>
      </c>
      <c r="H57" s="19" t="s">
        <v>429</v>
      </c>
      <c r="I57" s="19" t="s">
        <v>282</v>
      </c>
    </row>
    <row r="58" customHeight="1" spans="2:9">
      <c r="B58" s="17" t="s">
        <v>430</v>
      </c>
      <c r="C58" s="18" t="s">
        <v>414</v>
      </c>
      <c r="D58" s="19">
        <v>11</v>
      </c>
      <c r="E58" s="19" t="s">
        <v>284</v>
      </c>
      <c r="F58" s="19" t="s">
        <v>101</v>
      </c>
      <c r="G58" s="19" t="s">
        <v>336</v>
      </c>
      <c r="H58" s="19" t="s">
        <v>431</v>
      </c>
      <c r="I58" s="19" t="s">
        <v>432</v>
      </c>
    </row>
    <row r="59" customHeight="1" spans="2:9">
      <c r="B59" s="17" t="s">
        <v>433</v>
      </c>
      <c r="C59" s="18" t="s">
        <v>414</v>
      </c>
      <c r="D59" s="19">
        <v>16</v>
      </c>
      <c r="E59" s="19" t="s">
        <v>284</v>
      </c>
      <c r="F59" s="19" t="s">
        <v>279</v>
      </c>
      <c r="G59" s="19" t="s">
        <v>280</v>
      </c>
      <c r="H59" s="19" t="s">
        <v>434</v>
      </c>
      <c r="I59" s="19" t="s">
        <v>282</v>
      </c>
    </row>
    <row r="60" customHeight="1" spans="2:9">
      <c r="B60" s="17" t="s">
        <v>435</v>
      </c>
      <c r="C60" s="18" t="s">
        <v>414</v>
      </c>
      <c r="D60" s="19">
        <v>13</v>
      </c>
      <c r="E60" s="19" t="s">
        <v>284</v>
      </c>
      <c r="F60" s="19" t="s">
        <v>101</v>
      </c>
      <c r="G60" s="19" t="s">
        <v>285</v>
      </c>
      <c r="H60" s="19" t="s">
        <v>436</v>
      </c>
      <c r="I60" s="19" t="s">
        <v>437</v>
      </c>
    </row>
    <row r="61" customHeight="1" spans="2:9">
      <c r="B61" s="17" t="s">
        <v>438</v>
      </c>
      <c r="C61" s="18" t="s">
        <v>414</v>
      </c>
      <c r="D61" s="19">
        <v>23</v>
      </c>
      <c r="E61" s="19" t="s">
        <v>278</v>
      </c>
      <c r="F61" s="19" t="s">
        <v>279</v>
      </c>
      <c r="G61" s="19" t="s">
        <v>280</v>
      </c>
      <c r="H61" s="19" t="s">
        <v>439</v>
      </c>
      <c r="I61" s="19" t="s">
        <v>282</v>
      </c>
    </row>
    <row r="62" customHeight="1" spans="2:9">
      <c r="B62" s="17" t="s">
        <v>440</v>
      </c>
      <c r="C62" s="18" t="s">
        <v>414</v>
      </c>
      <c r="D62" s="19">
        <v>13</v>
      </c>
      <c r="E62" s="19" t="s">
        <v>278</v>
      </c>
      <c r="F62" s="19" t="s">
        <v>279</v>
      </c>
      <c r="G62" s="19" t="s">
        <v>285</v>
      </c>
      <c r="H62" s="19" t="s">
        <v>441</v>
      </c>
      <c r="I62" s="19" t="s">
        <v>442</v>
      </c>
    </row>
    <row r="63" customHeight="1" spans="2:9">
      <c r="B63" s="17" t="s">
        <v>443</v>
      </c>
      <c r="C63" s="18" t="s">
        <v>414</v>
      </c>
      <c r="D63" s="19">
        <v>20</v>
      </c>
      <c r="E63" s="19" t="s">
        <v>284</v>
      </c>
      <c r="F63" s="19" t="s">
        <v>279</v>
      </c>
      <c r="G63" s="19" t="s">
        <v>303</v>
      </c>
      <c r="H63" s="19" t="s">
        <v>444</v>
      </c>
      <c r="I63" s="19" t="s">
        <v>282</v>
      </c>
    </row>
    <row r="64" customHeight="1" spans="2:9">
      <c r="B64" s="17" t="s">
        <v>445</v>
      </c>
      <c r="C64" s="18" t="s">
        <v>414</v>
      </c>
      <c r="D64" s="19">
        <v>18</v>
      </c>
      <c r="E64" s="19" t="s">
        <v>284</v>
      </c>
      <c r="F64" s="19" t="s">
        <v>279</v>
      </c>
      <c r="G64" s="19" t="s">
        <v>280</v>
      </c>
      <c r="H64" s="19" t="s">
        <v>446</v>
      </c>
      <c r="I64" s="19" t="s">
        <v>447</v>
      </c>
    </row>
    <row r="65" customHeight="1" spans="2:9">
      <c r="B65" s="17" t="s">
        <v>448</v>
      </c>
      <c r="C65" s="18" t="s">
        <v>449</v>
      </c>
      <c r="D65" s="19">
        <v>16</v>
      </c>
      <c r="E65" s="19" t="s">
        <v>278</v>
      </c>
      <c r="F65" s="19" t="s">
        <v>279</v>
      </c>
      <c r="G65" s="19" t="s">
        <v>280</v>
      </c>
      <c r="H65" s="19" t="s">
        <v>450</v>
      </c>
      <c r="I65" s="19" t="s">
        <v>451</v>
      </c>
    </row>
    <row r="66" customHeight="1" spans="2:9">
      <c r="B66" s="17" t="s">
        <v>452</v>
      </c>
      <c r="C66" s="18" t="s">
        <v>449</v>
      </c>
      <c r="D66" s="19">
        <v>15</v>
      </c>
      <c r="E66" s="19" t="s">
        <v>342</v>
      </c>
      <c r="F66" s="19" t="s">
        <v>101</v>
      </c>
      <c r="G66" s="19" t="s">
        <v>280</v>
      </c>
      <c r="H66" s="19" t="s">
        <v>453</v>
      </c>
      <c r="I66" s="19" t="s">
        <v>282</v>
      </c>
    </row>
    <row r="67" customHeight="1" spans="2:9">
      <c r="B67" s="17" t="s">
        <v>454</v>
      </c>
      <c r="C67" s="18" t="s">
        <v>449</v>
      </c>
      <c r="D67" s="19">
        <v>17</v>
      </c>
      <c r="E67" s="19" t="s">
        <v>278</v>
      </c>
      <c r="F67" s="19" t="s">
        <v>279</v>
      </c>
      <c r="G67" s="19" t="s">
        <v>455</v>
      </c>
      <c r="H67" s="20" t="s">
        <v>456</v>
      </c>
      <c r="I67" s="19" t="s">
        <v>457</v>
      </c>
    </row>
    <row r="68" customHeight="1" spans="2:9">
      <c r="B68" s="17" t="s">
        <v>458</v>
      </c>
      <c r="C68" s="18" t="s">
        <v>449</v>
      </c>
      <c r="D68" s="19">
        <v>14</v>
      </c>
      <c r="E68" s="19" t="s">
        <v>278</v>
      </c>
      <c r="F68" s="19" t="s">
        <v>101</v>
      </c>
      <c r="G68" s="19" t="s">
        <v>336</v>
      </c>
      <c r="H68" s="19" t="s">
        <v>459</v>
      </c>
      <c r="I68" s="19" t="s">
        <v>282</v>
      </c>
    </row>
    <row r="69" customHeight="1" spans="2:9">
      <c r="B69" s="17" t="s">
        <v>460</v>
      </c>
      <c r="C69" s="18" t="s">
        <v>449</v>
      </c>
      <c r="D69" s="19">
        <v>23</v>
      </c>
      <c r="E69" s="19" t="s">
        <v>278</v>
      </c>
      <c r="F69" s="19" t="s">
        <v>279</v>
      </c>
      <c r="G69" s="19" t="s">
        <v>280</v>
      </c>
      <c r="H69" s="20" t="s">
        <v>461</v>
      </c>
      <c r="I69" s="19" t="s">
        <v>282</v>
      </c>
    </row>
    <row r="70" customHeight="1" spans="2:9">
      <c r="B70" s="17" t="s">
        <v>462</v>
      </c>
      <c r="C70" s="18" t="s">
        <v>449</v>
      </c>
      <c r="D70" s="19">
        <v>11</v>
      </c>
      <c r="E70" s="19" t="s">
        <v>278</v>
      </c>
      <c r="F70" s="19" t="s">
        <v>279</v>
      </c>
      <c r="G70" s="19" t="s">
        <v>280</v>
      </c>
      <c r="H70" s="19" t="s">
        <v>463</v>
      </c>
      <c r="I70" s="19" t="s">
        <v>282</v>
      </c>
    </row>
    <row r="71" customHeight="1" spans="2:9">
      <c r="B71" s="17" t="s">
        <v>464</v>
      </c>
      <c r="C71" s="18" t="s">
        <v>449</v>
      </c>
      <c r="D71" s="19">
        <v>18</v>
      </c>
      <c r="E71" s="19" t="s">
        <v>284</v>
      </c>
      <c r="F71" s="19" t="s">
        <v>101</v>
      </c>
      <c r="G71" s="19" t="s">
        <v>280</v>
      </c>
      <c r="H71" s="19" t="s">
        <v>465</v>
      </c>
      <c r="I71" s="19" t="s">
        <v>282</v>
      </c>
    </row>
    <row r="72" customHeight="1" spans="2:9">
      <c r="B72" s="17" t="s">
        <v>466</v>
      </c>
      <c r="C72" s="18" t="s">
        <v>449</v>
      </c>
      <c r="D72" s="19">
        <v>17</v>
      </c>
      <c r="E72" s="19" t="s">
        <v>342</v>
      </c>
      <c r="F72" s="19" t="s">
        <v>101</v>
      </c>
      <c r="G72" s="19" t="s">
        <v>280</v>
      </c>
      <c r="H72" s="19" t="s">
        <v>467</v>
      </c>
      <c r="I72" s="19" t="s">
        <v>282</v>
      </c>
    </row>
    <row r="73" customHeight="1" spans="2:9">
      <c r="B73" s="17" t="s">
        <v>468</v>
      </c>
      <c r="C73" s="18" t="s">
        <v>449</v>
      </c>
      <c r="D73" s="19">
        <v>9</v>
      </c>
      <c r="E73" s="19" t="s">
        <v>284</v>
      </c>
      <c r="F73" s="19" t="s">
        <v>279</v>
      </c>
      <c r="G73" s="19" t="s">
        <v>280</v>
      </c>
      <c r="H73" s="19" t="s">
        <v>469</v>
      </c>
      <c r="I73" s="19" t="s">
        <v>470</v>
      </c>
    </row>
    <row r="74" customHeight="1" spans="2:9">
      <c r="B74" s="17" t="s">
        <v>471</v>
      </c>
      <c r="C74" s="18" t="s">
        <v>449</v>
      </c>
      <c r="D74" s="19">
        <v>11</v>
      </c>
      <c r="E74" s="19" t="s">
        <v>342</v>
      </c>
      <c r="F74" s="19" t="s">
        <v>101</v>
      </c>
      <c r="G74" s="19" t="s">
        <v>280</v>
      </c>
      <c r="H74" s="19" t="s">
        <v>472</v>
      </c>
      <c r="I74" s="19" t="s">
        <v>282</v>
      </c>
    </row>
    <row r="75" customHeight="1" spans="2:9">
      <c r="B75" s="17" t="s">
        <v>473</v>
      </c>
      <c r="C75" s="18" t="s">
        <v>474</v>
      </c>
      <c r="D75" s="19">
        <v>23</v>
      </c>
      <c r="E75" s="19" t="s">
        <v>278</v>
      </c>
      <c r="F75" s="19" t="s">
        <v>279</v>
      </c>
      <c r="G75" s="19" t="s">
        <v>378</v>
      </c>
      <c r="H75" s="19" t="s">
        <v>475</v>
      </c>
      <c r="I75" s="19" t="s">
        <v>282</v>
      </c>
    </row>
    <row r="76" customHeight="1" spans="2:9">
      <c r="B76" s="17" t="s">
        <v>476</v>
      </c>
      <c r="C76" s="18" t="s">
        <v>474</v>
      </c>
      <c r="D76" s="19">
        <v>19</v>
      </c>
      <c r="E76" s="19" t="s">
        <v>278</v>
      </c>
      <c r="F76" s="19" t="s">
        <v>279</v>
      </c>
      <c r="G76" s="19" t="s">
        <v>285</v>
      </c>
      <c r="H76" s="19" t="s">
        <v>477</v>
      </c>
      <c r="I76" s="19" t="s">
        <v>282</v>
      </c>
    </row>
    <row r="77" customHeight="1" spans="2:9">
      <c r="B77" s="17" t="s">
        <v>478</v>
      </c>
      <c r="C77" s="18" t="s">
        <v>474</v>
      </c>
      <c r="D77" s="19">
        <v>16</v>
      </c>
      <c r="E77" s="19" t="s">
        <v>284</v>
      </c>
      <c r="F77" s="19" t="s">
        <v>101</v>
      </c>
      <c r="G77" s="19" t="s">
        <v>289</v>
      </c>
      <c r="H77" s="19" t="s">
        <v>479</v>
      </c>
      <c r="I77" s="19" t="s">
        <v>480</v>
      </c>
    </row>
    <row r="78" customHeight="1" spans="2:9">
      <c r="B78" s="17" t="s">
        <v>481</v>
      </c>
      <c r="C78" s="18" t="s">
        <v>474</v>
      </c>
      <c r="D78" s="19">
        <v>11</v>
      </c>
      <c r="E78" s="19" t="s">
        <v>284</v>
      </c>
      <c r="F78" s="19" t="s">
        <v>101</v>
      </c>
      <c r="G78" s="19" t="s">
        <v>359</v>
      </c>
      <c r="H78" s="19" t="s">
        <v>482</v>
      </c>
      <c r="I78" s="19" t="s">
        <v>483</v>
      </c>
    </row>
    <row r="79" customHeight="1" spans="2:9">
      <c r="B79" s="17" t="s">
        <v>484</v>
      </c>
      <c r="C79" s="18" t="s">
        <v>474</v>
      </c>
      <c r="D79" s="19">
        <v>13</v>
      </c>
      <c r="E79" s="19" t="s">
        <v>284</v>
      </c>
      <c r="F79" s="19" t="s">
        <v>279</v>
      </c>
      <c r="G79" s="19" t="s">
        <v>485</v>
      </c>
      <c r="H79" s="19" t="s">
        <v>486</v>
      </c>
      <c r="I79" s="19" t="s">
        <v>487</v>
      </c>
    </row>
    <row r="80" customHeight="1" spans="2:9">
      <c r="B80" s="17" t="s">
        <v>488</v>
      </c>
      <c r="C80" s="18" t="s">
        <v>474</v>
      </c>
      <c r="D80" s="19">
        <v>17</v>
      </c>
      <c r="E80" s="19" t="s">
        <v>278</v>
      </c>
      <c r="F80" s="19" t="s">
        <v>279</v>
      </c>
      <c r="G80" s="19" t="s">
        <v>489</v>
      </c>
      <c r="H80" s="19" t="s">
        <v>490</v>
      </c>
      <c r="I80" s="19" t="s">
        <v>282</v>
      </c>
    </row>
    <row r="81" customHeight="1" spans="2:9">
      <c r="B81" s="17" t="s">
        <v>491</v>
      </c>
      <c r="C81" s="18" t="s">
        <v>474</v>
      </c>
      <c r="D81" s="19">
        <v>10</v>
      </c>
      <c r="E81" s="19" t="s">
        <v>284</v>
      </c>
      <c r="F81" s="19" t="s">
        <v>279</v>
      </c>
      <c r="G81" s="19" t="s">
        <v>280</v>
      </c>
      <c r="H81" s="19" t="s">
        <v>492</v>
      </c>
      <c r="I81" s="19" t="s">
        <v>282</v>
      </c>
    </row>
    <row r="82" customHeight="1" spans="2:9">
      <c r="B82" s="17" t="s">
        <v>493</v>
      </c>
      <c r="C82" s="18" t="s">
        <v>474</v>
      </c>
      <c r="D82" s="19">
        <v>16</v>
      </c>
      <c r="E82" s="19" t="s">
        <v>284</v>
      </c>
      <c r="F82" s="19" t="s">
        <v>279</v>
      </c>
      <c r="G82" s="19" t="s">
        <v>485</v>
      </c>
      <c r="H82" s="19" t="s">
        <v>494</v>
      </c>
      <c r="I82" s="19" t="s">
        <v>495</v>
      </c>
    </row>
    <row r="83" customHeight="1" spans="2:9">
      <c r="B83" s="17" t="s">
        <v>496</v>
      </c>
      <c r="C83" s="18" t="s">
        <v>474</v>
      </c>
      <c r="D83" s="19">
        <v>8</v>
      </c>
      <c r="E83" s="19" t="s">
        <v>284</v>
      </c>
      <c r="F83" s="19" t="s">
        <v>279</v>
      </c>
      <c r="G83" s="19" t="s">
        <v>280</v>
      </c>
      <c r="H83" s="19" t="s">
        <v>497</v>
      </c>
      <c r="I83" s="19" t="s">
        <v>282</v>
      </c>
    </row>
    <row r="84" customHeight="1" spans="2:9">
      <c r="B84" s="17" t="s">
        <v>498</v>
      </c>
      <c r="C84" s="18" t="s">
        <v>474</v>
      </c>
      <c r="D84" s="19">
        <v>11</v>
      </c>
      <c r="E84" s="19" t="s">
        <v>284</v>
      </c>
      <c r="F84" s="19" t="s">
        <v>101</v>
      </c>
      <c r="G84" s="19" t="s">
        <v>499</v>
      </c>
      <c r="H84" s="19" t="s">
        <v>500</v>
      </c>
      <c r="I84" s="19" t="s">
        <v>501</v>
      </c>
    </row>
    <row r="85" customHeight="1" spans="2:9">
      <c r="B85" s="17" t="s">
        <v>502</v>
      </c>
      <c r="C85" s="18" t="s">
        <v>474</v>
      </c>
      <c r="D85" s="19">
        <v>27</v>
      </c>
      <c r="E85" s="19" t="s">
        <v>278</v>
      </c>
      <c r="F85" s="19" t="s">
        <v>279</v>
      </c>
      <c r="G85" s="19" t="s">
        <v>280</v>
      </c>
      <c r="H85" s="19" t="s">
        <v>503</v>
      </c>
      <c r="I85" s="19" t="s">
        <v>282</v>
      </c>
    </row>
    <row r="86" customHeight="1" spans="2:9">
      <c r="B86" s="17" t="s">
        <v>504</v>
      </c>
      <c r="C86" s="18" t="s">
        <v>505</v>
      </c>
      <c r="D86" s="19">
        <v>17</v>
      </c>
      <c r="E86" s="19" t="s">
        <v>284</v>
      </c>
      <c r="F86" s="19" t="s">
        <v>279</v>
      </c>
      <c r="G86" s="19" t="s">
        <v>280</v>
      </c>
      <c r="H86" s="19" t="s">
        <v>506</v>
      </c>
      <c r="I86" s="19" t="s">
        <v>507</v>
      </c>
    </row>
    <row r="87" customHeight="1" spans="2:9">
      <c r="B87" s="17" t="s">
        <v>508</v>
      </c>
      <c r="C87" s="18" t="s">
        <v>505</v>
      </c>
      <c r="D87" s="19">
        <v>16</v>
      </c>
      <c r="E87" s="19" t="s">
        <v>309</v>
      </c>
      <c r="F87" s="19" t="s">
        <v>101</v>
      </c>
      <c r="G87" s="19" t="s">
        <v>509</v>
      </c>
      <c r="H87" s="19" t="s">
        <v>510</v>
      </c>
      <c r="I87" s="19" t="s">
        <v>282</v>
      </c>
    </row>
    <row r="88" customHeight="1" spans="2:9">
      <c r="B88" s="17" t="s">
        <v>511</v>
      </c>
      <c r="C88" s="18" t="s">
        <v>505</v>
      </c>
      <c r="D88" s="19">
        <v>23</v>
      </c>
      <c r="E88" s="19" t="s">
        <v>284</v>
      </c>
      <c r="F88" s="19" t="s">
        <v>279</v>
      </c>
      <c r="G88" s="19" t="s">
        <v>285</v>
      </c>
      <c r="H88" s="19" t="s">
        <v>512</v>
      </c>
      <c r="I88" s="19" t="s">
        <v>282</v>
      </c>
    </row>
    <row r="89" customHeight="1" spans="2:9">
      <c r="B89" s="17" t="s">
        <v>513</v>
      </c>
      <c r="C89" s="18" t="s">
        <v>505</v>
      </c>
      <c r="D89" s="19">
        <v>21</v>
      </c>
      <c r="E89" s="19" t="s">
        <v>278</v>
      </c>
      <c r="F89" s="19" t="s">
        <v>101</v>
      </c>
      <c r="G89" s="19" t="s">
        <v>514</v>
      </c>
      <c r="H89" s="19" t="s">
        <v>515</v>
      </c>
      <c r="I89" s="19" t="s">
        <v>516</v>
      </c>
    </row>
    <row r="90" customHeight="1" spans="2:9">
      <c r="B90" s="17" t="s">
        <v>517</v>
      </c>
      <c r="C90" s="18" t="s">
        <v>505</v>
      </c>
      <c r="D90" s="19">
        <v>13</v>
      </c>
      <c r="E90" s="19" t="s">
        <v>284</v>
      </c>
      <c r="F90" s="19" t="s">
        <v>101</v>
      </c>
      <c r="G90" s="19" t="s">
        <v>514</v>
      </c>
      <c r="H90" s="19" t="s">
        <v>518</v>
      </c>
      <c r="I90" s="19" t="s">
        <v>519</v>
      </c>
    </row>
    <row r="91" customHeight="1" spans="2:9">
      <c r="B91" s="17" t="s">
        <v>520</v>
      </c>
      <c r="C91" s="18" t="s">
        <v>505</v>
      </c>
      <c r="D91" s="19">
        <v>17</v>
      </c>
      <c r="E91" s="19" t="s">
        <v>284</v>
      </c>
      <c r="F91" s="19" t="s">
        <v>101</v>
      </c>
      <c r="G91" s="19" t="s">
        <v>285</v>
      </c>
      <c r="H91" s="19" t="s">
        <v>521</v>
      </c>
      <c r="I91" s="19" t="s">
        <v>301</v>
      </c>
    </row>
    <row r="92" customHeight="1" spans="2:9">
      <c r="B92" s="17" t="s">
        <v>522</v>
      </c>
      <c r="C92" s="18" t="s">
        <v>505</v>
      </c>
      <c r="D92" s="19">
        <v>19</v>
      </c>
      <c r="E92" s="19" t="s">
        <v>284</v>
      </c>
      <c r="F92" s="19" t="s">
        <v>279</v>
      </c>
      <c r="G92" s="19" t="s">
        <v>280</v>
      </c>
      <c r="H92" s="20" t="s">
        <v>523</v>
      </c>
      <c r="I92" s="19" t="s">
        <v>282</v>
      </c>
    </row>
    <row r="93" customHeight="1" spans="2:9">
      <c r="B93" s="17" t="s">
        <v>524</v>
      </c>
      <c r="C93" s="18" t="s">
        <v>505</v>
      </c>
      <c r="D93" s="19">
        <v>11</v>
      </c>
      <c r="E93" s="19" t="s">
        <v>284</v>
      </c>
      <c r="F93" s="19" t="s">
        <v>279</v>
      </c>
      <c r="G93" s="19" t="s">
        <v>285</v>
      </c>
      <c r="H93" s="19" t="s">
        <v>525</v>
      </c>
      <c r="I93" s="19" t="s">
        <v>282</v>
      </c>
    </row>
    <row r="94" customHeight="1" spans="2:9">
      <c r="B94" s="17" t="s">
        <v>526</v>
      </c>
      <c r="C94" s="18" t="s">
        <v>505</v>
      </c>
      <c r="D94" s="19">
        <v>14</v>
      </c>
      <c r="E94" s="19" t="s">
        <v>284</v>
      </c>
      <c r="F94" s="19" t="s">
        <v>101</v>
      </c>
      <c r="G94" s="19" t="s">
        <v>285</v>
      </c>
      <c r="H94" s="19" t="s">
        <v>527</v>
      </c>
      <c r="I94" s="19" t="s">
        <v>528</v>
      </c>
    </row>
    <row r="95" customHeight="1" spans="2:9">
      <c r="B95" s="17" t="s">
        <v>529</v>
      </c>
      <c r="C95" s="18" t="s">
        <v>505</v>
      </c>
      <c r="D95" s="19">
        <v>13</v>
      </c>
      <c r="E95" s="19" t="s">
        <v>284</v>
      </c>
      <c r="F95" s="19" t="s">
        <v>101</v>
      </c>
      <c r="G95" s="19" t="s">
        <v>285</v>
      </c>
      <c r="H95" s="19" t="s">
        <v>530</v>
      </c>
      <c r="I95" s="19" t="s">
        <v>301</v>
      </c>
    </row>
    <row r="96" customHeight="1" spans="2:9">
      <c r="B96" s="17" t="s">
        <v>531</v>
      </c>
      <c r="C96" s="18" t="s">
        <v>505</v>
      </c>
      <c r="D96" s="19">
        <v>12</v>
      </c>
      <c r="E96" s="19" t="s">
        <v>284</v>
      </c>
      <c r="F96" s="19" t="s">
        <v>279</v>
      </c>
      <c r="G96" s="19" t="s">
        <v>532</v>
      </c>
      <c r="H96" s="19" t="s">
        <v>533</v>
      </c>
      <c r="I96" s="19" t="s">
        <v>534</v>
      </c>
    </row>
    <row r="97" customHeight="1" spans="2:9">
      <c r="B97" s="17" t="s">
        <v>535</v>
      </c>
      <c r="C97" s="18" t="s">
        <v>536</v>
      </c>
      <c r="D97" s="19">
        <v>9</v>
      </c>
      <c r="E97" s="19" t="s">
        <v>284</v>
      </c>
      <c r="F97" s="19" t="s">
        <v>279</v>
      </c>
      <c r="G97" s="19" t="s">
        <v>378</v>
      </c>
      <c r="H97" s="19" t="s">
        <v>537</v>
      </c>
      <c r="I97" s="19" t="s">
        <v>282</v>
      </c>
    </row>
    <row r="98" customHeight="1" spans="2:9">
      <c r="B98" s="17" t="s">
        <v>538</v>
      </c>
      <c r="C98" s="18" t="s">
        <v>536</v>
      </c>
      <c r="D98" s="19">
        <v>13</v>
      </c>
      <c r="E98" s="19" t="s">
        <v>284</v>
      </c>
      <c r="F98" s="19" t="s">
        <v>101</v>
      </c>
      <c r="G98" s="19" t="s">
        <v>539</v>
      </c>
      <c r="H98" s="19" t="s">
        <v>540</v>
      </c>
      <c r="I98" s="19" t="s">
        <v>541</v>
      </c>
    </row>
    <row r="99" customHeight="1" spans="2:9">
      <c r="B99" s="17" t="s">
        <v>542</v>
      </c>
      <c r="C99" s="18" t="s">
        <v>536</v>
      </c>
      <c r="D99" s="19">
        <v>17</v>
      </c>
      <c r="E99" s="19" t="s">
        <v>284</v>
      </c>
      <c r="F99" s="19" t="s">
        <v>101</v>
      </c>
      <c r="G99" s="19" t="s">
        <v>539</v>
      </c>
      <c r="H99" s="19" t="s">
        <v>543</v>
      </c>
      <c r="I99" s="19" t="s">
        <v>544</v>
      </c>
    </row>
    <row r="100" customHeight="1" spans="2:9">
      <c r="B100" s="17" t="s">
        <v>545</v>
      </c>
      <c r="C100" s="18" t="s">
        <v>536</v>
      </c>
      <c r="D100" s="19">
        <v>13</v>
      </c>
      <c r="E100" s="19" t="s">
        <v>284</v>
      </c>
      <c r="F100" s="19" t="s">
        <v>279</v>
      </c>
      <c r="G100" s="19" t="s">
        <v>539</v>
      </c>
      <c r="H100" s="19" t="s">
        <v>546</v>
      </c>
      <c r="I100" s="19" t="s">
        <v>282</v>
      </c>
    </row>
    <row r="101" customHeight="1" spans="2:9">
      <c r="B101" s="17" t="s">
        <v>547</v>
      </c>
      <c r="C101" s="18" t="s">
        <v>536</v>
      </c>
      <c r="D101" s="19">
        <v>23</v>
      </c>
      <c r="E101" s="19" t="s">
        <v>548</v>
      </c>
      <c r="F101" s="19" t="s">
        <v>101</v>
      </c>
      <c r="G101" s="19" t="s">
        <v>336</v>
      </c>
      <c r="H101" s="20" t="s">
        <v>549</v>
      </c>
      <c r="I101" s="19" t="s">
        <v>282</v>
      </c>
    </row>
    <row r="102" customHeight="1" spans="2:9">
      <c r="B102" s="17" t="s">
        <v>550</v>
      </c>
      <c r="C102" s="18" t="s">
        <v>536</v>
      </c>
      <c r="D102" s="19">
        <v>14</v>
      </c>
      <c r="E102" s="19" t="s">
        <v>284</v>
      </c>
      <c r="F102" s="19" t="s">
        <v>279</v>
      </c>
      <c r="G102" s="19" t="s">
        <v>303</v>
      </c>
      <c r="H102" s="20" t="s">
        <v>551</v>
      </c>
      <c r="I102" s="19" t="s">
        <v>552</v>
      </c>
    </row>
    <row r="103" customHeight="1" spans="2:9">
      <c r="B103" s="17" t="s">
        <v>553</v>
      </c>
      <c r="C103" s="18" t="s">
        <v>536</v>
      </c>
      <c r="D103" s="19">
        <v>11</v>
      </c>
      <c r="E103" s="19" t="s">
        <v>342</v>
      </c>
      <c r="F103" s="19" t="s">
        <v>279</v>
      </c>
      <c r="G103" s="19" t="s">
        <v>455</v>
      </c>
      <c r="H103" s="19" t="s">
        <v>554</v>
      </c>
      <c r="I103" s="19" t="s">
        <v>282</v>
      </c>
    </row>
    <row r="104" customHeight="1" spans="2:9">
      <c r="B104" s="17" t="s">
        <v>555</v>
      </c>
      <c r="C104" s="18" t="s">
        <v>536</v>
      </c>
      <c r="D104" s="19">
        <v>18</v>
      </c>
      <c r="E104" s="19" t="s">
        <v>284</v>
      </c>
      <c r="F104" s="19" t="s">
        <v>101</v>
      </c>
      <c r="G104" s="19" t="s">
        <v>285</v>
      </c>
      <c r="H104" s="19" t="s">
        <v>556</v>
      </c>
      <c r="I104" s="19" t="s">
        <v>557</v>
      </c>
    </row>
    <row r="105" customHeight="1" spans="2:9">
      <c r="B105" s="17" t="s">
        <v>558</v>
      </c>
      <c r="C105" s="18" t="s">
        <v>536</v>
      </c>
      <c r="D105" s="19">
        <v>21</v>
      </c>
      <c r="E105" s="19" t="s">
        <v>278</v>
      </c>
      <c r="F105" s="19" t="s">
        <v>279</v>
      </c>
      <c r="G105" s="19" t="s">
        <v>280</v>
      </c>
      <c r="H105" s="19" t="s">
        <v>559</v>
      </c>
      <c r="I105" s="19" t="s">
        <v>282</v>
      </c>
    </row>
    <row r="106" customHeight="1" spans="2:9">
      <c r="B106" s="17" t="s">
        <v>560</v>
      </c>
      <c r="C106" s="18" t="s">
        <v>536</v>
      </c>
      <c r="D106" s="19">
        <v>24</v>
      </c>
      <c r="E106" s="19" t="s">
        <v>284</v>
      </c>
      <c r="F106" s="19" t="s">
        <v>279</v>
      </c>
      <c r="G106" s="19" t="s">
        <v>539</v>
      </c>
      <c r="H106" s="19" t="s">
        <v>561</v>
      </c>
      <c r="I106" s="19" t="s">
        <v>544</v>
      </c>
    </row>
    <row r="107" customHeight="1" spans="2:9">
      <c r="B107" s="17" t="s">
        <v>562</v>
      </c>
      <c r="C107" s="18" t="s">
        <v>536</v>
      </c>
      <c r="D107" s="19">
        <v>26</v>
      </c>
      <c r="E107" s="19" t="s">
        <v>548</v>
      </c>
      <c r="F107" s="19" t="s">
        <v>101</v>
      </c>
      <c r="G107" s="19" t="s">
        <v>336</v>
      </c>
      <c r="H107" s="19" t="s">
        <v>563</v>
      </c>
      <c r="I107" s="19" t="s">
        <v>564</v>
      </c>
    </row>
    <row r="108" customHeight="1" spans="2:9">
      <c r="B108" s="17" t="s">
        <v>565</v>
      </c>
      <c r="C108" s="18" t="s">
        <v>536</v>
      </c>
      <c r="D108" s="19">
        <v>19</v>
      </c>
      <c r="E108" s="19" t="s">
        <v>284</v>
      </c>
      <c r="F108" s="19" t="s">
        <v>101</v>
      </c>
      <c r="G108" s="19" t="s">
        <v>566</v>
      </c>
      <c r="H108" s="19" t="s">
        <v>567</v>
      </c>
      <c r="I108" s="19" t="s">
        <v>564</v>
      </c>
    </row>
    <row r="109" customHeight="1" spans="2:9">
      <c r="B109" s="17" t="s">
        <v>568</v>
      </c>
      <c r="C109" s="18" t="s">
        <v>536</v>
      </c>
      <c r="D109" s="19">
        <v>18</v>
      </c>
      <c r="E109" s="19" t="s">
        <v>278</v>
      </c>
      <c r="F109" s="19" t="s">
        <v>101</v>
      </c>
      <c r="G109" s="19" t="s">
        <v>285</v>
      </c>
      <c r="H109" s="20" t="s">
        <v>569</v>
      </c>
      <c r="I109" s="19" t="s">
        <v>282</v>
      </c>
    </row>
    <row r="110" customHeight="1" spans="2:9">
      <c r="B110" s="17" t="s">
        <v>570</v>
      </c>
      <c r="C110" s="18" t="s">
        <v>252</v>
      </c>
      <c r="D110" s="19">
        <v>13</v>
      </c>
      <c r="E110" s="19" t="s">
        <v>278</v>
      </c>
      <c r="F110" s="19" t="s">
        <v>571</v>
      </c>
      <c r="G110" s="19" t="s">
        <v>280</v>
      </c>
      <c r="H110" s="20" t="s">
        <v>572</v>
      </c>
      <c r="I110" s="19" t="s">
        <v>573</v>
      </c>
    </row>
    <row r="111" customHeight="1" spans="2:9">
      <c r="B111" s="17" t="s">
        <v>574</v>
      </c>
      <c r="C111" s="18" t="s">
        <v>252</v>
      </c>
      <c r="D111" s="19">
        <v>15</v>
      </c>
      <c r="E111" s="19" t="s">
        <v>284</v>
      </c>
      <c r="F111" s="19" t="s">
        <v>101</v>
      </c>
      <c r="G111" s="19" t="s">
        <v>280</v>
      </c>
      <c r="H111" s="20" t="s">
        <v>575</v>
      </c>
      <c r="I111" s="19" t="s">
        <v>576</v>
      </c>
    </row>
    <row r="112" customHeight="1" spans="2:9">
      <c r="B112" s="17" t="s">
        <v>577</v>
      </c>
      <c r="C112" s="18" t="s">
        <v>252</v>
      </c>
      <c r="D112" s="19">
        <v>11</v>
      </c>
      <c r="E112" s="19" t="s">
        <v>284</v>
      </c>
      <c r="F112" s="19" t="s">
        <v>279</v>
      </c>
      <c r="G112" s="19" t="s">
        <v>578</v>
      </c>
      <c r="H112" s="20" t="s">
        <v>579</v>
      </c>
      <c r="I112" s="20" t="s">
        <v>580</v>
      </c>
    </row>
    <row r="113" customHeight="1" spans="2:9">
      <c r="B113" s="17" t="s">
        <v>581</v>
      </c>
      <c r="C113" s="18" t="s">
        <v>252</v>
      </c>
      <c r="D113" s="19">
        <v>13</v>
      </c>
      <c r="E113" s="19" t="s">
        <v>284</v>
      </c>
      <c r="F113" s="19" t="s">
        <v>279</v>
      </c>
      <c r="G113" s="19" t="s">
        <v>582</v>
      </c>
      <c r="H113" s="20" t="s">
        <v>583</v>
      </c>
      <c r="I113" s="19" t="s">
        <v>584</v>
      </c>
    </row>
    <row r="114" customHeight="1" spans="2:9">
      <c r="B114" s="17" t="s">
        <v>585</v>
      </c>
      <c r="C114" s="18" t="s">
        <v>586</v>
      </c>
      <c r="D114" s="19">
        <v>23</v>
      </c>
      <c r="E114" s="19" t="s">
        <v>278</v>
      </c>
      <c r="F114" s="19" t="s">
        <v>101</v>
      </c>
      <c r="G114" s="19" t="s">
        <v>289</v>
      </c>
      <c r="H114" s="20" t="s">
        <v>587</v>
      </c>
      <c r="I114" s="20" t="s">
        <v>588</v>
      </c>
    </row>
    <row r="115" customHeight="1" spans="2:9">
      <c r="B115" s="17" t="s">
        <v>589</v>
      </c>
      <c r="C115" s="18" t="s">
        <v>586</v>
      </c>
      <c r="D115" s="19" t="s">
        <v>571</v>
      </c>
      <c r="E115" s="19" t="s">
        <v>278</v>
      </c>
      <c r="F115" s="19" t="s">
        <v>101</v>
      </c>
      <c r="G115" s="19" t="s">
        <v>590</v>
      </c>
      <c r="H115" s="20" t="s">
        <v>591</v>
      </c>
      <c r="I115" s="19" t="s">
        <v>592</v>
      </c>
    </row>
    <row r="116" customHeight="1" spans="2:9">
      <c r="B116" s="17" t="s">
        <v>593</v>
      </c>
      <c r="C116" s="18" t="s">
        <v>586</v>
      </c>
      <c r="D116" s="19">
        <v>22</v>
      </c>
      <c r="E116" s="19" t="s">
        <v>284</v>
      </c>
      <c r="F116" s="19" t="s">
        <v>101</v>
      </c>
      <c r="G116" s="19" t="s">
        <v>594</v>
      </c>
      <c r="H116" s="19" t="s">
        <v>595</v>
      </c>
      <c r="I116" s="19" t="s">
        <v>596</v>
      </c>
    </row>
    <row r="117" customHeight="1" spans="2:9">
      <c r="B117" s="17" t="s">
        <v>597</v>
      </c>
      <c r="C117" s="18" t="s">
        <v>586</v>
      </c>
      <c r="D117" s="19">
        <v>25</v>
      </c>
      <c r="E117" s="19" t="s">
        <v>278</v>
      </c>
      <c r="F117" s="19" t="s">
        <v>279</v>
      </c>
      <c r="G117" s="19" t="s">
        <v>582</v>
      </c>
      <c r="H117" s="20" t="s">
        <v>598</v>
      </c>
      <c r="I117" s="19" t="s">
        <v>599</v>
      </c>
    </row>
    <row r="118" customHeight="1" spans="2:9">
      <c r="B118" s="17" t="s">
        <v>600</v>
      </c>
      <c r="C118" s="18" t="s">
        <v>586</v>
      </c>
      <c r="D118" s="19">
        <v>18</v>
      </c>
      <c r="E118" s="19" t="s">
        <v>278</v>
      </c>
      <c r="F118" s="19" t="s">
        <v>279</v>
      </c>
      <c r="G118" s="19" t="s">
        <v>601</v>
      </c>
      <c r="H118" s="20" t="s">
        <v>602</v>
      </c>
      <c r="I118" s="19" t="s">
        <v>603</v>
      </c>
    </row>
    <row r="119" customHeight="1" spans="2:9">
      <c r="B119" s="17" t="s">
        <v>604</v>
      </c>
      <c r="C119" s="18" t="s">
        <v>586</v>
      </c>
      <c r="D119" s="19">
        <v>20</v>
      </c>
      <c r="E119" s="19" t="s">
        <v>278</v>
      </c>
      <c r="F119" s="19" t="s">
        <v>279</v>
      </c>
      <c r="G119" s="19" t="s">
        <v>280</v>
      </c>
      <c r="H119" s="20" t="s">
        <v>605</v>
      </c>
      <c r="I119" s="19" t="s">
        <v>606</v>
      </c>
    </row>
    <row r="120" customHeight="1" spans="2:9">
      <c r="B120" s="17" t="s">
        <v>607</v>
      </c>
      <c r="C120" s="18" t="s">
        <v>586</v>
      </c>
      <c r="D120" s="19">
        <v>28</v>
      </c>
      <c r="E120" s="19" t="s">
        <v>278</v>
      </c>
      <c r="F120" s="19" t="s">
        <v>101</v>
      </c>
      <c r="G120" s="19" t="s">
        <v>608</v>
      </c>
      <c r="H120" s="20" t="s">
        <v>609</v>
      </c>
      <c r="I120" s="19" t="s">
        <v>282</v>
      </c>
    </row>
    <row r="121" customHeight="1" spans="2:9">
      <c r="B121" s="17" t="s">
        <v>610</v>
      </c>
      <c r="C121" s="18" t="s">
        <v>586</v>
      </c>
      <c r="D121" s="19">
        <v>20</v>
      </c>
      <c r="E121" s="19" t="s">
        <v>284</v>
      </c>
      <c r="F121" s="19" t="s">
        <v>101</v>
      </c>
      <c r="G121" s="19" t="s">
        <v>608</v>
      </c>
      <c r="H121" s="20" t="s">
        <v>611</v>
      </c>
      <c r="I121" s="19" t="s">
        <v>282</v>
      </c>
    </row>
    <row r="122" customHeight="1" spans="2:9">
      <c r="B122" s="17" t="s">
        <v>612</v>
      </c>
      <c r="C122" s="18" t="s">
        <v>586</v>
      </c>
      <c r="D122" s="19">
        <v>18</v>
      </c>
      <c r="E122" s="19" t="s">
        <v>284</v>
      </c>
      <c r="F122" s="19" t="s">
        <v>101</v>
      </c>
      <c r="G122" s="19" t="s">
        <v>285</v>
      </c>
      <c r="H122" s="19" t="s">
        <v>613</v>
      </c>
      <c r="I122" s="19" t="s">
        <v>282</v>
      </c>
    </row>
    <row r="123" customHeight="1" spans="2:9">
      <c r="B123" s="17" t="s">
        <v>614</v>
      </c>
      <c r="C123" s="18" t="s">
        <v>586</v>
      </c>
      <c r="D123" s="19">
        <v>14</v>
      </c>
      <c r="E123" s="19" t="s">
        <v>284</v>
      </c>
      <c r="F123" s="19" t="s">
        <v>279</v>
      </c>
      <c r="G123" s="19" t="s">
        <v>280</v>
      </c>
      <c r="H123" s="20" t="s">
        <v>615</v>
      </c>
      <c r="I123" s="19" t="s">
        <v>282</v>
      </c>
    </row>
    <row r="124" customHeight="1" spans="2:9">
      <c r="B124" s="17" t="s">
        <v>616</v>
      </c>
      <c r="C124" s="18" t="s">
        <v>586</v>
      </c>
      <c r="D124" s="19">
        <v>18</v>
      </c>
      <c r="E124" s="19" t="s">
        <v>284</v>
      </c>
      <c r="F124" s="19" t="s">
        <v>101</v>
      </c>
      <c r="G124" s="19" t="s">
        <v>280</v>
      </c>
      <c r="H124" s="20" t="s">
        <v>617</v>
      </c>
      <c r="I124" s="19" t="s">
        <v>282</v>
      </c>
    </row>
    <row r="125" customHeight="1" spans="2:9">
      <c r="B125" s="17" t="s">
        <v>618</v>
      </c>
      <c r="C125" s="18" t="s">
        <v>586</v>
      </c>
      <c r="D125" s="19">
        <v>24</v>
      </c>
      <c r="E125" s="19" t="s">
        <v>284</v>
      </c>
      <c r="F125" s="19" t="s">
        <v>101</v>
      </c>
      <c r="G125" s="19" t="s">
        <v>280</v>
      </c>
      <c r="H125" s="19" t="s">
        <v>619</v>
      </c>
      <c r="I125" s="19" t="s">
        <v>282</v>
      </c>
    </row>
    <row r="126" customHeight="1" spans="2:9">
      <c r="B126" s="17" t="s">
        <v>620</v>
      </c>
      <c r="C126" s="18" t="s">
        <v>586</v>
      </c>
      <c r="D126" s="19">
        <v>21</v>
      </c>
      <c r="E126" s="19" t="s">
        <v>278</v>
      </c>
      <c r="F126" s="19" t="s">
        <v>101</v>
      </c>
      <c r="G126" s="19" t="s">
        <v>336</v>
      </c>
      <c r="H126" s="19" t="s">
        <v>621</v>
      </c>
      <c r="I126" s="19" t="s">
        <v>282</v>
      </c>
    </row>
    <row r="127" customHeight="1" spans="2:9">
      <c r="B127" s="17" t="s">
        <v>622</v>
      </c>
      <c r="C127" s="18" t="s">
        <v>586</v>
      </c>
      <c r="D127" s="19">
        <v>24</v>
      </c>
      <c r="E127" s="19" t="s">
        <v>278</v>
      </c>
      <c r="F127" s="19" t="s">
        <v>279</v>
      </c>
      <c r="G127" s="19" t="s">
        <v>280</v>
      </c>
      <c r="H127" s="19" t="s">
        <v>623</v>
      </c>
      <c r="I127" s="19" t="s">
        <v>282</v>
      </c>
    </row>
    <row r="128" customHeight="1" spans="2:9">
      <c r="B128" s="17" t="s">
        <v>624</v>
      </c>
      <c r="C128" s="18" t="s">
        <v>586</v>
      </c>
      <c r="D128" s="19">
        <v>14</v>
      </c>
      <c r="E128" s="19" t="s">
        <v>284</v>
      </c>
      <c r="F128" s="19" t="s">
        <v>101</v>
      </c>
      <c r="G128" s="19" t="s">
        <v>336</v>
      </c>
      <c r="H128" s="19" t="s">
        <v>625</v>
      </c>
      <c r="I128" s="19" t="s">
        <v>282</v>
      </c>
    </row>
    <row r="129" customHeight="1" spans="2:9">
      <c r="B129" s="17" t="s">
        <v>626</v>
      </c>
      <c r="C129" s="18" t="s">
        <v>586</v>
      </c>
      <c r="D129" s="19">
        <v>19</v>
      </c>
      <c r="E129" s="19" t="s">
        <v>284</v>
      </c>
      <c r="F129" s="19" t="s">
        <v>101</v>
      </c>
      <c r="G129" s="19" t="s">
        <v>608</v>
      </c>
      <c r="H129" s="19" t="s">
        <v>627</v>
      </c>
      <c r="I129" s="19" t="s">
        <v>282</v>
      </c>
    </row>
    <row r="130" customHeight="1" spans="2:9">
      <c r="B130" s="17" t="s">
        <v>628</v>
      </c>
      <c r="C130" s="18" t="s">
        <v>586</v>
      </c>
      <c r="D130" s="19">
        <v>24</v>
      </c>
      <c r="E130" s="19" t="s">
        <v>278</v>
      </c>
      <c r="F130" s="19" t="s">
        <v>279</v>
      </c>
      <c r="G130" s="19" t="s">
        <v>285</v>
      </c>
      <c r="H130" s="20" t="s">
        <v>629</v>
      </c>
      <c r="I130" s="19" t="s">
        <v>630</v>
      </c>
    </row>
    <row r="131" customHeight="1" spans="2:9">
      <c r="B131" s="17" t="s">
        <v>631</v>
      </c>
      <c r="C131" s="18" t="s">
        <v>586</v>
      </c>
      <c r="D131" s="19">
        <v>19</v>
      </c>
      <c r="E131" s="19" t="s">
        <v>284</v>
      </c>
      <c r="F131" s="19" t="s">
        <v>101</v>
      </c>
      <c r="G131" s="19" t="s">
        <v>608</v>
      </c>
      <c r="H131" s="20" t="s">
        <v>632</v>
      </c>
      <c r="I131" s="19" t="s">
        <v>282</v>
      </c>
    </row>
    <row r="132" customHeight="1" spans="2:9">
      <c r="B132" s="17" t="s">
        <v>633</v>
      </c>
      <c r="C132" s="18" t="s">
        <v>586</v>
      </c>
      <c r="D132" s="19">
        <v>24</v>
      </c>
      <c r="E132" s="19" t="s">
        <v>278</v>
      </c>
      <c r="F132" s="19" t="s">
        <v>279</v>
      </c>
      <c r="G132" s="19" t="s">
        <v>634</v>
      </c>
      <c r="H132" s="20" t="s">
        <v>635</v>
      </c>
      <c r="I132" s="19" t="s">
        <v>282</v>
      </c>
    </row>
    <row r="133" customHeight="1" spans="2:9">
      <c r="B133" s="17" t="s">
        <v>636</v>
      </c>
      <c r="C133" s="18" t="s">
        <v>586</v>
      </c>
      <c r="D133" s="19">
        <v>27</v>
      </c>
      <c r="E133" s="19" t="s">
        <v>278</v>
      </c>
      <c r="F133" s="19" t="s">
        <v>101</v>
      </c>
      <c r="G133" s="19" t="s">
        <v>578</v>
      </c>
      <c r="H133" s="19" t="s">
        <v>637</v>
      </c>
      <c r="I133" s="19" t="s">
        <v>282</v>
      </c>
    </row>
    <row r="134" customHeight="1" spans="2:9">
      <c r="B134" s="17" t="s">
        <v>638</v>
      </c>
      <c r="C134" s="18" t="s">
        <v>586</v>
      </c>
      <c r="D134" s="19">
        <v>21</v>
      </c>
      <c r="E134" s="19" t="s">
        <v>284</v>
      </c>
      <c r="F134" s="19" t="s">
        <v>101</v>
      </c>
      <c r="G134" s="19" t="s">
        <v>285</v>
      </c>
      <c r="H134" s="19" t="s">
        <v>639</v>
      </c>
      <c r="I134" s="19" t="s">
        <v>282</v>
      </c>
    </row>
    <row r="135" customHeight="1" spans="2:9">
      <c r="B135" s="17" t="s">
        <v>640</v>
      </c>
      <c r="C135" s="18" t="s">
        <v>586</v>
      </c>
      <c r="D135" s="19">
        <v>16</v>
      </c>
      <c r="E135" s="19" t="s">
        <v>284</v>
      </c>
      <c r="F135" s="19" t="s">
        <v>101</v>
      </c>
      <c r="G135" s="19" t="s">
        <v>578</v>
      </c>
      <c r="H135" s="20" t="s">
        <v>641</v>
      </c>
      <c r="I135" s="19" t="s">
        <v>642</v>
      </c>
    </row>
    <row r="136" customHeight="1" spans="2:9">
      <c r="B136" s="17" t="s">
        <v>643</v>
      </c>
      <c r="C136" s="18" t="s">
        <v>586</v>
      </c>
      <c r="D136" s="19">
        <v>14</v>
      </c>
      <c r="E136" s="19" t="s">
        <v>284</v>
      </c>
      <c r="F136" s="19" t="s">
        <v>101</v>
      </c>
      <c r="G136" s="19" t="s">
        <v>336</v>
      </c>
      <c r="H136" s="20" t="s">
        <v>644</v>
      </c>
      <c r="I136" s="19" t="s">
        <v>282</v>
      </c>
    </row>
    <row r="137" customHeight="1" spans="2:9">
      <c r="B137" s="13" t="s">
        <v>645</v>
      </c>
      <c r="C137" s="18" t="s">
        <v>646</v>
      </c>
      <c r="D137" s="19">
        <v>28</v>
      </c>
      <c r="E137" s="19" t="s">
        <v>278</v>
      </c>
      <c r="F137" s="19" t="s">
        <v>279</v>
      </c>
      <c r="G137" s="19" t="s">
        <v>647</v>
      </c>
      <c r="H137" s="20" t="s">
        <v>648</v>
      </c>
      <c r="I137" s="19" t="s">
        <v>599</v>
      </c>
    </row>
  </sheetData>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J34" sqref="J34:Q34"/>
    </sheetView>
  </sheetViews>
  <sheetFormatPr defaultColWidth="9" defaultRowHeight="14" outlineLevelCol="6"/>
  <cols>
    <col min="1" max="4" width="12.4166666666667" style="6" customWidth="1"/>
    <col min="5" max="6" width="20.5" style="6" customWidth="1"/>
    <col min="7" max="16384" width="9" style="7"/>
  </cols>
  <sheetData>
    <row r="1" spans="1:7">
      <c r="A1" s="8" t="s">
        <v>649</v>
      </c>
      <c r="B1" s="8" t="s">
        <v>20</v>
      </c>
      <c r="C1" s="8" t="s">
        <v>650</v>
      </c>
      <c r="D1" s="8" t="s">
        <v>651</v>
      </c>
      <c r="E1" s="8" t="s">
        <v>17</v>
      </c>
      <c r="F1" s="8" t="s">
        <v>652</v>
      </c>
      <c r="G1" s="8" t="s">
        <v>653</v>
      </c>
    </row>
    <row r="2" spans="1:7">
      <c r="A2" s="9" t="s">
        <v>654</v>
      </c>
      <c r="B2" s="8">
        <v>100</v>
      </c>
      <c r="C2" s="8">
        <v>1</v>
      </c>
      <c r="D2" s="8" t="s">
        <v>655</v>
      </c>
      <c r="E2" s="8" t="s">
        <v>656</v>
      </c>
      <c r="F2" s="8">
        <v>50</v>
      </c>
      <c r="G2" s="8">
        <v>5</v>
      </c>
    </row>
    <row r="3" spans="1:7">
      <c r="A3" s="9" t="s">
        <v>657</v>
      </c>
      <c r="B3" s="8">
        <v>50</v>
      </c>
      <c r="C3" s="8">
        <v>2</v>
      </c>
      <c r="D3" s="8" t="s">
        <v>655</v>
      </c>
      <c r="E3" s="8" t="s">
        <v>658</v>
      </c>
      <c r="F3" s="8">
        <v>70</v>
      </c>
      <c r="G3" s="8">
        <v>7</v>
      </c>
    </row>
    <row r="4" spans="1:7">
      <c r="A4" s="9" t="s">
        <v>659</v>
      </c>
      <c r="B4" s="8">
        <v>120</v>
      </c>
      <c r="C4" s="8">
        <v>3</v>
      </c>
      <c r="D4" s="8" t="s">
        <v>655</v>
      </c>
      <c r="E4" s="8" t="s">
        <v>660</v>
      </c>
      <c r="F4" s="8">
        <v>100</v>
      </c>
      <c r="G4" s="8">
        <v>10</v>
      </c>
    </row>
    <row r="5" spans="1:7">
      <c r="A5" s="9" t="s">
        <v>661</v>
      </c>
      <c r="B5" s="8">
        <v>300</v>
      </c>
      <c r="C5" s="8">
        <v>5</v>
      </c>
      <c r="D5" s="8" t="s">
        <v>655</v>
      </c>
      <c r="E5" s="8" t="s">
        <v>662</v>
      </c>
      <c r="F5" s="8">
        <v>120</v>
      </c>
      <c r="G5" s="8">
        <v>12</v>
      </c>
    </row>
    <row r="6" spans="1:7">
      <c r="A6" s="9" t="s">
        <v>663</v>
      </c>
      <c r="B6" s="8">
        <v>70</v>
      </c>
      <c r="C6" s="8">
        <v>1</v>
      </c>
      <c r="D6" s="8" t="s">
        <v>655</v>
      </c>
      <c r="E6" s="8" t="s">
        <v>664</v>
      </c>
      <c r="F6" s="8">
        <v>150</v>
      </c>
      <c r="G6" s="8">
        <v>15</v>
      </c>
    </row>
    <row r="7" spans="1:7">
      <c r="A7" s="9" t="s">
        <v>665</v>
      </c>
      <c r="B7" s="8">
        <v>50</v>
      </c>
      <c r="C7" s="8">
        <v>1</v>
      </c>
      <c r="D7" s="8" t="s">
        <v>666</v>
      </c>
      <c r="E7" s="8" t="s">
        <v>667</v>
      </c>
      <c r="F7" s="8">
        <v>200</v>
      </c>
      <c r="G7" s="8">
        <v>20</v>
      </c>
    </row>
    <row r="8" spans="1:7">
      <c r="A8" s="9" t="s">
        <v>668</v>
      </c>
      <c r="B8" s="8">
        <v>10</v>
      </c>
      <c r="C8" s="8">
        <v>1</v>
      </c>
      <c r="D8" s="8" t="s">
        <v>666</v>
      </c>
      <c r="E8" s="8" t="s">
        <v>669</v>
      </c>
      <c r="F8" s="8">
        <v>500</v>
      </c>
      <c r="G8" s="8">
        <v>50</v>
      </c>
    </row>
    <row r="9" spans="1:7">
      <c r="A9" s="9" t="s">
        <v>670</v>
      </c>
      <c r="B9" s="8">
        <v>150</v>
      </c>
      <c r="C9" s="8">
        <v>1</v>
      </c>
      <c r="D9" s="8" t="s">
        <v>655</v>
      </c>
    </row>
    <row r="10" spans="1:7">
      <c r="A10" s="9" t="s">
        <v>671</v>
      </c>
    </row>
  </sheetData>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zoomScale="55" zoomScaleNormal="55" topLeftCell="F1" workbookViewId="0">
      <selection activeCell="J34" sqref="J34:Q34"/>
    </sheetView>
  </sheetViews>
  <sheetFormatPr defaultColWidth="9" defaultRowHeight="15"/>
  <cols>
    <col min="1" max="1" width="9" style="1"/>
    <col min="2" max="2" width="51.3416666666667" style="1" customWidth="1"/>
    <col min="3" max="17" width="9" style="1"/>
    <col min="18" max="18" width="12.2666666666667" style="1" customWidth="1"/>
    <col min="19" max="16384" width="9" style="1"/>
  </cols>
  <sheetData>
    <row r="1" ht="18" customHeight="1" spans="1:20">
      <c r="A1" s="2" t="s">
        <v>23</v>
      </c>
      <c r="B1" s="2" t="s">
        <v>22</v>
      </c>
      <c r="C1" s="2" t="s">
        <v>91</v>
      </c>
      <c r="D1" s="3" t="s">
        <v>672</v>
      </c>
      <c r="E1" s="3" t="s">
        <v>92</v>
      </c>
      <c r="F1" s="3" t="s">
        <v>93</v>
      </c>
      <c r="G1" s="3" t="s">
        <v>673</v>
      </c>
      <c r="H1" s="4" t="s">
        <v>674</v>
      </c>
      <c r="I1" s="4" t="s">
        <v>675</v>
      </c>
      <c r="J1" s="4" t="s">
        <v>676</v>
      </c>
      <c r="K1" s="4" t="s">
        <v>677</v>
      </c>
      <c r="L1" s="4" t="s">
        <v>82</v>
      </c>
      <c r="M1" s="4" t="s">
        <v>83</v>
      </c>
      <c r="N1" s="4" t="s">
        <v>84</v>
      </c>
      <c r="O1" s="4" t="s">
        <v>85</v>
      </c>
      <c r="P1" s="3" t="s">
        <v>678</v>
      </c>
      <c r="Q1" s="3" t="s">
        <v>679</v>
      </c>
      <c r="R1" s="5" t="s">
        <v>680</v>
      </c>
      <c r="S1" s="1" t="str" cm="1">
        <f t="array" ref="S1:S9">_xlfn.UNIQUE(灵能表[灵能类别])</f>
        <v>次级灵能</v>
      </c>
      <c r="T1" s="1" t="str" cm="1">
        <f t="array" ref="T1">IFERROR(_xlfn._xlws.FILTER(灵能表[灵能名称],灵能表[灵能类别]=灵能!E11),"")</f>
        <v/>
      </c>
    </row>
    <row r="2" ht="18" customHeight="1" spans="1:20">
      <c r="A2" s="2">
        <v>1</v>
      </c>
      <c r="B2" s="2" t="s">
        <v>681</v>
      </c>
      <c r="C2" s="2">
        <v>0</v>
      </c>
      <c r="D2" s="3">
        <v>0.9</v>
      </c>
      <c r="E2" s="3">
        <v>2.25</v>
      </c>
      <c r="F2" s="3">
        <v>4.5</v>
      </c>
      <c r="G2" s="3" t="s">
        <v>682</v>
      </c>
      <c r="H2" s="3">
        <v>0</v>
      </c>
      <c r="I2" s="3">
        <v>0</v>
      </c>
      <c r="J2" s="3">
        <v>0</v>
      </c>
      <c r="K2" s="3">
        <v>0</v>
      </c>
      <c r="L2" s="3">
        <f t="shared" ref="L2:L12" si="0">6*H2</f>
        <v>0</v>
      </c>
      <c r="M2" s="3" t="s">
        <v>499</v>
      </c>
      <c r="N2" s="3" t="s">
        <v>683</v>
      </c>
      <c r="O2" s="3" t="s">
        <v>684</v>
      </c>
      <c r="P2" s="3" t="s">
        <v>685</v>
      </c>
      <c r="Q2" s="3">
        <v>-30</v>
      </c>
      <c r="R2" s="4" t="s">
        <v>686</v>
      </c>
      <c r="S2" s="1" t="str">
        <v>生化学科</v>
      </c>
    </row>
    <row r="3" ht="18" customHeight="1" spans="1:20">
      <c r="A3" s="2">
        <v>2</v>
      </c>
      <c r="B3" s="2" t="s">
        <v>687</v>
      </c>
      <c r="C3" s="2">
        <v>1</v>
      </c>
      <c r="D3" s="3">
        <v>2.25</v>
      </c>
      <c r="E3" s="3">
        <v>4.5</v>
      </c>
      <c r="F3" s="3">
        <v>9</v>
      </c>
      <c r="G3" s="3" t="s">
        <v>688</v>
      </c>
      <c r="H3" s="3">
        <v>1</v>
      </c>
      <c r="I3" s="3">
        <v>1</v>
      </c>
      <c r="J3" s="3">
        <v>2</v>
      </c>
      <c r="K3" s="3">
        <v>3</v>
      </c>
      <c r="L3" s="3">
        <f t="shared" si="0"/>
        <v>6</v>
      </c>
      <c r="M3" s="3" t="s">
        <v>689</v>
      </c>
      <c r="N3" s="3" t="s">
        <v>690</v>
      </c>
      <c r="O3" s="3" t="s">
        <v>691</v>
      </c>
      <c r="P3" s="3" t="s">
        <v>692</v>
      </c>
      <c r="Q3" s="3">
        <v>-20</v>
      </c>
      <c r="R3" s="3" t="s">
        <v>693</v>
      </c>
      <c r="S3" s="1" t="str">
        <v>预言学科</v>
      </c>
    </row>
    <row r="4" ht="18" customHeight="1" spans="1:20">
      <c r="A4" s="2">
        <v>3</v>
      </c>
      <c r="B4" s="2" t="s">
        <v>687</v>
      </c>
      <c r="C4" s="2">
        <v>2</v>
      </c>
      <c r="D4" s="3">
        <v>4.5</v>
      </c>
      <c r="E4" s="3">
        <v>9</v>
      </c>
      <c r="F4" s="3">
        <v>18</v>
      </c>
      <c r="G4" s="3" t="s">
        <v>694</v>
      </c>
      <c r="H4" s="3">
        <v>2</v>
      </c>
      <c r="I4" s="3">
        <v>2</v>
      </c>
      <c r="J4" s="3">
        <v>4</v>
      </c>
      <c r="K4" s="3">
        <v>6</v>
      </c>
      <c r="L4" s="3">
        <f t="shared" si="0"/>
        <v>12</v>
      </c>
      <c r="M4" s="3" t="s">
        <v>695</v>
      </c>
      <c r="N4" s="3" t="s">
        <v>696</v>
      </c>
      <c r="O4" s="3" t="s">
        <v>697</v>
      </c>
      <c r="P4" s="3" t="s">
        <v>698</v>
      </c>
      <c r="Q4" s="3">
        <v>-10</v>
      </c>
      <c r="R4" s="3" t="s">
        <v>699</v>
      </c>
      <c r="S4" s="1" t="str">
        <v>操火学科</v>
      </c>
    </row>
    <row r="5" ht="18" customHeight="1" spans="1:20">
      <c r="A5" s="2">
        <v>4</v>
      </c>
      <c r="B5" s="2" t="s">
        <v>700</v>
      </c>
      <c r="C5" s="2">
        <v>3</v>
      </c>
      <c r="D5" s="3">
        <v>9</v>
      </c>
      <c r="E5" s="3">
        <f>2*D5</f>
        <v>18</v>
      </c>
      <c r="F5" s="3">
        <f>2*E5</f>
        <v>36</v>
      </c>
      <c r="G5" s="3" t="s">
        <v>701</v>
      </c>
      <c r="H5" s="3">
        <v>3</v>
      </c>
      <c r="I5" s="3">
        <v>3</v>
      </c>
      <c r="J5" s="3">
        <v>6</v>
      </c>
      <c r="K5" s="3">
        <v>9</v>
      </c>
      <c r="L5" s="3">
        <f t="shared" si="0"/>
        <v>18</v>
      </c>
      <c r="M5" s="3" t="s">
        <v>702</v>
      </c>
      <c r="N5" s="3" t="s">
        <v>703</v>
      </c>
      <c r="O5" s="3" t="s">
        <v>704</v>
      </c>
      <c r="P5" s="3" t="s">
        <v>705</v>
      </c>
      <c r="Q5" s="3">
        <v>0</v>
      </c>
      <c r="R5" s="3" t="s">
        <v>706</v>
      </c>
      <c r="S5" s="1" t="str">
        <v>遥感学科</v>
      </c>
    </row>
    <row r="6" ht="18" customHeight="1" spans="1:20">
      <c r="A6" s="2">
        <v>5</v>
      </c>
      <c r="B6" s="2" t="s">
        <v>700</v>
      </c>
      <c r="C6" s="2">
        <v>4</v>
      </c>
      <c r="D6" s="3">
        <v>18</v>
      </c>
      <c r="E6" s="3">
        <v>36</v>
      </c>
      <c r="F6" s="3">
        <v>72</v>
      </c>
      <c r="G6" s="3" t="s">
        <v>707</v>
      </c>
      <c r="H6" s="3">
        <v>4</v>
      </c>
      <c r="I6" s="3">
        <v>4</v>
      </c>
      <c r="J6" s="3">
        <v>8</v>
      </c>
      <c r="K6" s="3">
        <v>12</v>
      </c>
      <c r="L6" s="3">
        <f t="shared" si="0"/>
        <v>24</v>
      </c>
      <c r="M6" s="3" t="s">
        <v>708</v>
      </c>
      <c r="N6" s="3" t="s">
        <v>709</v>
      </c>
      <c r="O6" s="3" t="s">
        <v>710</v>
      </c>
      <c r="P6" s="3" t="s">
        <v>711</v>
      </c>
      <c r="Q6" s="3">
        <v>10</v>
      </c>
      <c r="R6" s="3" t="s">
        <v>712</v>
      </c>
      <c r="S6" s="1" t="str">
        <v>传心学科</v>
      </c>
    </row>
    <row r="7" ht="18" customHeight="1" spans="1:20">
      <c r="A7" s="2">
        <v>6</v>
      </c>
      <c r="B7" s="2" t="s">
        <v>700</v>
      </c>
      <c r="C7" s="2">
        <v>5</v>
      </c>
      <c r="D7" s="3">
        <v>27</v>
      </c>
      <c r="E7" s="3">
        <v>54</v>
      </c>
      <c r="F7" s="3">
        <v>108</v>
      </c>
      <c r="G7" s="3" t="s">
        <v>713</v>
      </c>
      <c r="H7" s="3">
        <v>5</v>
      </c>
      <c r="I7" s="3">
        <v>5</v>
      </c>
      <c r="J7" s="3">
        <v>10</v>
      </c>
      <c r="K7" s="3">
        <v>15</v>
      </c>
      <c r="L7" s="3">
        <f t="shared" si="0"/>
        <v>30</v>
      </c>
      <c r="M7" s="3" t="s">
        <v>714</v>
      </c>
      <c r="N7" s="3" t="s">
        <v>684</v>
      </c>
      <c r="O7" s="3" t="s">
        <v>715</v>
      </c>
      <c r="P7" s="3" t="s">
        <v>716</v>
      </c>
      <c r="Q7" s="3">
        <v>20</v>
      </c>
      <c r="R7" s="3" t="s">
        <v>717</v>
      </c>
      <c r="S7" s="1" t="str">
        <v>次级秘仪</v>
      </c>
    </row>
    <row r="8" ht="18" customHeight="1" spans="1:20">
      <c r="A8" s="2">
        <v>7</v>
      </c>
      <c r="B8" s="2" t="s">
        <v>700</v>
      </c>
      <c r="C8" s="2">
        <v>6</v>
      </c>
      <c r="D8" s="3">
        <v>36</v>
      </c>
      <c r="E8" s="3">
        <v>72</v>
      </c>
      <c r="F8" s="3">
        <v>144</v>
      </c>
      <c r="G8" s="3" t="s">
        <v>718</v>
      </c>
      <c r="H8" s="3">
        <v>6</v>
      </c>
      <c r="I8" s="3">
        <v>6</v>
      </c>
      <c r="J8" s="3">
        <v>12</v>
      </c>
      <c r="K8" s="3">
        <v>18</v>
      </c>
      <c r="L8" s="3">
        <f t="shared" si="0"/>
        <v>36</v>
      </c>
      <c r="M8" s="3" t="s">
        <v>719</v>
      </c>
      <c r="N8" s="3" t="s">
        <v>720</v>
      </c>
      <c r="O8" s="3" t="s">
        <v>721</v>
      </c>
      <c r="P8" s="3" t="s">
        <v>722</v>
      </c>
      <c r="Q8" s="3">
        <v>30</v>
      </c>
      <c r="R8" s="3" t="s">
        <v>723</v>
      </c>
      <c r="S8" s="1" t="str">
        <v>高阶秘仪</v>
      </c>
    </row>
    <row r="9" ht="18" customHeight="1" spans="1:20">
      <c r="A9" s="2">
        <v>8</v>
      </c>
      <c r="B9" s="2" t="s">
        <v>724</v>
      </c>
      <c r="C9" s="2">
        <v>7</v>
      </c>
      <c r="D9" s="3">
        <v>45</v>
      </c>
      <c r="E9" s="3">
        <v>90</v>
      </c>
      <c r="F9" s="3">
        <v>180</v>
      </c>
      <c r="G9" s="3" t="s">
        <v>725</v>
      </c>
      <c r="H9" s="3">
        <v>7</v>
      </c>
      <c r="I9" s="3">
        <v>7</v>
      </c>
      <c r="J9" s="3">
        <v>14</v>
      </c>
      <c r="K9" s="3">
        <v>21</v>
      </c>
      <c r="L9" s="3">
        <f t="shared" si="0"/>
        <v>42</v>
      </c>
      <c r="M9" s="3" t="s">
        <v>726</v>
      </c>
      <c r="N9" s="3" t="s">
        <v>727</v>
      </c>
      <c r="O9" s="3" t="s">
        <v>728</v>
      </c>
      <c r="R9" s="3" t="s">
        <v>729</v>
      </c>
      <c r="S9" s="1" t="str">
        <v>其他灵能</v>
      </c>
    </row>
    <row r="10" ht="18" customHeight="1" spans="1:20">
      <c r="A10" s="2">
        <v>9</v>
      </c>
      <c r="B10" s="2" t="s">
        <v>730</v>
      </c>
      <c r="C10" s="2">
        <v>8</v>
      </c>
      <c r="D10" s="3">
        <v>56</v>
      </c>
      <c r="E10" s="3">
        <v>112</v>
      </c>
      <c r="F10" s="3">
        <v>224</v>
      </c>
      <c r="G10" s="3" t="s">
        <v>731</v>
      </c>
      <c r="H10" s="3">
        <v>8</v>
      </c>
      <c r="I10" s="3">
        <v>8</v>
      </c>
      <c r="J10" s="3">
        <v>16</v>
      </c>
      <c r="K10" s="3">
        <v>24</v>
      </c>
      <c r="L10" s="3">
        <f t="shared" si="0"/>
        <v>48</v>
      </c>
      <c r="M10" s="3" t="s">
        <v>732</v>
      </c>
      <c r="N10" s="3" t="s">
        <v>733</v>
      </c>
      <c r="O10" s="3" t="s">
        <v>734</v>
      </c>
      <c r="R10" s="3" t="s">
        <v>735</v>
      </c>
    </row>
    <row r="11" ht="18" customHeight="1" spans="1:20">
      <c r="A11" s="2">
        <v>10</v>
      </c>
      <c r="B11" s="2" t="s">
        <v>730</v>
      </c>
      <c r="C11" s="2">
        <v>9</v>
      </c>
      <c r="D11" s="3">
        <v>67</v>
      </c>
      <c r="E11" s="3">
        <v>134</v>
      </c>
      <c r="F11" s="3">
        <v>268</v>
      </c>
      <c r="H11" s="3">
        <v>9</v>
      </c>
      <c r="I11" s="3">
        <v>9</v>
      </c>
      <c r="J11" s="3">
        <v>18</v>
      </c>
      <c r="K11" s="3">
        <v>27</v>
      </c>
      <c r="L11" s="3">
        <f t="shared" si="0"/>
        <v>54</v>
      </c>
      <c r="M11" s="3" t="s">
        <v>736</v>
      </c>
      <c r="N11" s="3" t="s">
        <v>737</v>
      </c>
      <c r="O11" s="3" t="s">
        <v>738</v>
      </c>
      <c r="R11" s="3" t="s">
        <v>739</v>
      </c>
    </row>
    <row r="12" ht="18" customHeight="1" spans="1:20">
      <c r="A12" s="2">
        <v>11</v>
      </c>
      <c r="B12" s="2" t="s">
        <v>730</v>
      </c>
      <c r="C12" s="2">
        <v>10</v>
      </c>
      <c r="D12" s="3">
        <v>78</v>
      </c>
      <c r="E12" s="3">
        <v>156</v>
      </c>
      <c r="F12" s="3">
        <v>312</v>
      </c>
      <c r="H12" s="3">
        <v>10</v>
      </c>
      <c r="I12" s="3">
        <v>10</v>
      </c>
      <c r="J12" s="3">
        <v>20</v>
      </c>
      <c r="K12" s="3">
        <v>30</v>
      </c>
      <c r="L12" s="3">
        <f t="shared" si="0"/>
        <v>60</v>
      </c>
      <c r="M12" s="3" t="s">
        <v>740</v>
      </c>
      <c r="N12" s="3" t="s">
        <v>741</v>
      </c>
      <c r="O12" s="3" t="s">
        <v>742</v>
      </c>
      <c r="R12" s="3" t="s">
        <v>743</v>
      </c>
    </row>
    <row r="13" ht="18" customHeight="1" spans="1:20">
      <c r="A13" s="2">
        <v>12</v>
      </c>
      <c r="B13" s="2" t="s">
        <v>744</v>
      </c>
      <c r="C13" s="2">
        <v>11</v>
      </c>
      <c r="D13" s="3">
        <v>90</v>
      </c>
      <c r="E13" s="3">
        <v>180</v>
      </c>
      <c r="F13" s="3">
        <v>360</v>
      </c>
      <c r="R13" s="3" t="s">
        <v>745</v>
      </c>
    </row>
    <row r="14" ht="18" customHeight="1" spans="1:20">
      <c r="A14" s="2">
        <v>13</v>
      </c>
      <c r="B14" s="2" t="s">
        <v>744</v>
      </c>
      <c r="C14" s="2">
        <v>12</v>
      </c>
      <c r="D14" s="3">
        <v>112</v>
      </c>
      <c r="E14" s="3">
        <v>224</v>
      </c>
      <c r="F14" s="3">
        <v>448</v>
      </c>
      <c r="R14" s="3" t="s">
        <v>746</v>
      </c>
    </row>
    <row r="15" ht="18" customHeight="1" spans="1:20">
      <c r="A15" s="2">
        <v>14</v>
      </c>
      <c r="B15" s="2" t="s">
        <v>744</v>
      </c>
      <c r="C15" s="2">
        <v>13</v>
      </c>
      <c r="D15" s="3">
        <v>225</v>
      </c>
      <c r="E15" s="3">
        <v>450</v>
      </c>
      <c r="F15" s="3">
        <v>900</v>
      </c>
      <c r="R15" s="3" t="s">
        <v>747</v>
      </c>
    </row>
    <row r="16" ht="18" customHeight="1" spans="1:20">
      <c r="A16" s="2">
        <v>15</v>
      </c>
      <c r="B16" s="2" t="s">
        <v>744</v>
      </c>
      <c r="C16" s="2">
        <v>14</v>
      </c>
      <c r="D16" s="3">
        <v>337</v>
      </c>
      <c r="E16" s="3">
        <v>674</v>
      </c>
      <c r="F16" s="3">
        <v>1348</v>
      </c>
      <c r="R16" s="3" t="s">
        <v>748</v>
      </c>
    </row>
    <row r="17" ht="18" customHeight="1" spans="1:18">
      <c r="A17" s="2">
        <v>16</v>
      </c>
      <c r="B17" s="2" t="s">
        <v>749</v>
      </c>
      <c r="C17" s="2">
        <v>15</v>
      </c>
      <c r="D17" s="3">
        <v>450</v>
      </c>
      <c r="E17" s="3">
        <v>900</v>
      </c>
      <c r="F17" s="3">
        <v>1800</v>
      </c>
      <c r="R17" s="3" t="s">
        <v>750</v>
      </c>
    </row>
    <row r="18" ht="18" customHeight="1" spans="1:18">
      <c r="A18" s="2">
        <v>17</v>
      </c>
      <c r="B18" s="2" t="s">
        <v>749</v>
      </c>
      <c r="C18" s="2">
        <v>16</v>
      </c>
      <c r="D18" s="3">
        <v>675</v>
      </c>
      <c r="E18" s="3">
        <v>1350</v>
      </c>
      <c r="F18" s="3">
        <v>2700</v>
      </c>
      <c r="R18" s="3" t="s">
        <v>751</v>
      </c>
    </row>
    <row r="19" ht="18" customHeight="1" spans="1:18">
      <c r="A19" s="2">
        <v>18</v>
      </c>
      <c r="B19" s="2" t="s">
        <v>749</v>
      </c>
      <c r="C19" s="2">
        <v>17</v>
      </c>
      <c r="D19" s="3">
        <v>900</v>
      </c>
      <c r="E19" s="3">
        <v>1800</v>
      </c>
      <c r="F19" s="3">
        <v>3600</v>
      </c>
      <c r="R19" s="3" t="s">
        <v>752</v>
      </c>
    </row>
    <row r="20" ht="18" customHeight="1" spans="1:18">
      <c r="A20" s="2">
        <v>19</v>
      </c>
      <c r="B20" s="2" t="s">
        <v>753</v>
      </c>
      <c r="C20" s="2">
        <v>18</v>
      </c>
      <c r="D20" s="3">
        <v>1350</v>
      </c>
      <c r="E20" s="3">
        <v>2700</v>
      </c>
      <c r="F20" s="3">
        <v>5400</v>
      </c>
      <c r="R20" s="3" t="s">
        <v>754</v>
      </c>
    </row>
    <row r="21" ht="18" customHeight="1" spans="1:18">
      <c r="A21" s="2">
        <v>20</v>
      </c>
      <c r="B21" s="2" t="s">
        <v>753</v>
      </c>
      <c r="C21" s="2">
        <v>19</v>
      </c>
      <c r="D21" s="3">
        <v>1800</v>
      </c>
      <c r="E21" s="3">
        <v>3600</v>
      </c>
      <c r="F21" s="3">
        <v>7200</v>
      </c>
      <c r="R21" s="3" t="s">
        <v>755</v>
      </c>
    </row>
    <row r="22" ht="18" customHeight="1" spans="1:18">
      <c r="A22" s="2">
        <v>21</v>
      </c>
      <c r="B22" s="2" t="s">
        <v>753</v>
      </c>
      <c r="C22" s="2">
        <v>20</v>
      </c>
      <c r="D22" s="3">
        <v>2250</v>
      </c>
      <c r="E22" s="3">
        <v>4500</v>
      </c>
      <c r="F22" s="3">
        <v>9000</v>
      </c>
      <c r="R22" s="3" t="s">
        <v>756</v>
      </c>
    </row>
    <row r="23" ht="18" customHeight="1" spans="1:18">
      <c r="A23" s="2">
        <v>22</v>
      </c>
      <c r="B23" s="2" t="s">
        <v>757</v>
      </c>
      <c r="R23" s="3" t="s">
        <v>758</v>
      </c>
    </row>
    <row r="24" ht="18" customHeight="1" spans="1:18">
      <c r="A24" s="2">
        <v>23</v>
      </c>
      <c r="B24" s="2" t="s">
        <v>757</v>
      </c>
    </row>
    <row r="25" ht="18" customHeight="1" spans="1:18">
      <c r="A25" s="2">
        <v>24</v>
      </c>
      <c r="B25" s="2" t="s">
        <v>757</v>
      </c>
    </row>
    <row r="26" ht="18" customHeight="1" spans="1:18">
      <c r="A26" s="2">
        <v>25</v>
      </c>
      <c r="B26" s="2" t="s">
        <v>757</v>
      </c>
    </row>
    <row r="27" ht="18" customHeight="1" spans="1:18">
      <c r="A27" s="2">
        <v>26</v>
      </c>
      <c r="B27" s="2" t="s">
        <v>757</v>
      </c>
    </row>
    <row r="28" ht="18" customHeight="1" spans="1:18">
      <c r="A28" s="2">
        <v>27</v>
      </c>
      <c r="B28" s="2" t="s">
        <v>759</v>
      </c>
    </row>
    <row r="29" ht="18" customHeight="1" spans="1:18">
      <c r="A29" s="2">
        <v>28</v>
      </c>
      <c r="B29" s="2" t="s">
        <v>759</v>
      </c>
    </row>
    <row r="30" ht="18" customHeight="1" spans="1:18">
      <c r="A30" s="2">
        <v>29</v>
      </c>
      <c r="B30" s="2" t="s">
        <v>759</v>
      </c>
    </row>
    <row r="31" ht="18" customHeight="1" spans="1:18">
      <c r="A31" s="2">
        <v>30</v>
      </c>
      <c r="B31" s="2" t="s">
        <v>759</v>
      </c>
    </row>
    <row r="32" ht="18" customHeight="1" spans="1:18">
      <c r="A32" s="2">
        <v>31</v>
      </c>
      <c r="B32" s="2" t="s">
        <v>760</v>
      </c>
    </row>
    <row r="33" ht="18" customHeight="1" spans="1:2">
      <c r="A33" s="2">
        <v>32</v>
      </c>
      <c r="B33" s="2" t="s">
        <v>760</v>
      </c>
    </row>
    <row r="34" ht="18" customHeight="1" spans="1:2">
      <c r="A34" s="2">
        <v>33</v>
      </c>
      <c r="B34" s="2" t="s">
        <v>760</v>
      </c>
    </row>
    <row r="35" ht="18" customHeight="1" spans="1:2">
      <c r="A35" s="2">
        <v>34</v>
      </c>
      <c r="B35" s="2" t="s">
        <v>761</v>
      </c>
    </row>
    <row r="36" ht="18" customHeight="1" spans="1:2">
      <c r="A36" s="2">
        <v>35</v>
      </c>
      <c r="B36" s="2" t="s">
        <v>761</v>
      </c>
    </row>
    <row r="37" ht="18" customHeight="1" spans="1:2">
      <c r="A37" s="2">
        <v>36</v>
      </c>
      <c r="B37" s="2" t="s">
        <v>761</v>
      </c>
    </row>
    <row r="38" ht="18" customHeight="1" spans="1:2">
      <c r="A38" s="2">
        <v>37</v>
      </c>
      <c r="B38" s="2" t="s">
        <v>761</v>
      </c>
    </row>
    <row r="39" ht="18" customHeight="1" spans="1:2">
      <c r="A39" s="2">
        <v>38</v>
      </c>
      <c r="B39" s="2" t="s">
        <v>761</v>
      </c>
    </row>
    <row r="40" ht="18" customHeight="1" spans="1:2">
      <c r="A40" s="2">
        <v>39</v>
      </c>
      <c r="B40" s="2" t="s">
        <v>762</v>
      </c>
    </row>
    <row r="41" ht="18" customHeight="1" spans="1:2">
      <c r="A41" s="2">
        <v>40</v>
      </c>
      <c r="B41" s="2" t="s">
        <v>762</v>
      </c>
    </row>
    <row r="42" ht="18" customHeight="1" spans="1:2">
      <c r="A42" s="2">
        <v>41</v>
      </c>
      <c r="B42" s="2" t="s">
        <v>762</v>
      </c>
    </row>
    <row r="43" ht="18" customHeight="1" spans="1:2">
      <c r="A43" s="2">
        <v>42</v>
      </c>
      <c r="B43" s="2" t="s">
        <v>762</v>
      </c>
    </row>
    <row r="44" ht="18" customHeight="1" spans="1:2">
      <c r="A44" s="2">
        <v>43</v>
      </c>
      <c r="B44" s="2" t="s">
        <v>763</v>
      </c>
    </row>
    <row r="45" ht="18" customHeight="1" spans="1:2">
      <c r="A45" s="2">
        <v>44</v>
      </c>
      <c r="B45" s="2" t="s">
        <v>763</v>
      </c>
    </row>
    <row r="46" ht="18" customHeight="1" spans="1:2">
      <c r="A46" s="2">
        <v>45</v>
      </c>
      <c r="B46" s="2" t="s">
        <v>763</v>
      </c>
    </row>
    <row r="47" ht="18" customHeight="1" spans="1:2">
      <c r="A47" s="2">
        <v>46</v>
      </c>
      <c r="B47" s="2" t="s">
        <v>763</v>
      </c>
    </row>
    <row r="48" ht="18" customHeight="1" spans="1:2">
      <c r="A48" s="2">
        <v>47</v>
      </c>
      <c r="B48" s="2" t="s">
        <v>764</v>
      </c>
    </row>
    <row r="49" ht="18" customHeight="1" spans="1:2">
      <c r="A49" s="2">
        <v>48</v>
      </c>
      <c r="B49" s="2" t="s">
        <v>764</v>
      </c>
    </row>
    <row r="50" ht="18" customHeight="1" spans="1:2">
      <c r="A50" s="2">
        <v>49</v>
      </c>
      <c r="B50" s="2" t="s">
        <v>764</v>
      </c>
    </row>
    <row r="51" ht="18" customHeight="1" spans="1:2">
      <c r="A51" s="2">
        <v>50</v>
      </c>
      <c r="B51" s="2" t="s">
        <v>764</v>
      </c>
    </row>
    <row r="52" ht="18" customHeight="1" spans="1:2">
      <c r="A52" s="2">
        <v>51</v>
      </c>
      <c r="B52" s="2" t="s">
        <v>765</v>
      </c>
    </row>
    <row r="53" ht="18" customHeight="1" spans="1:2">
      <c r="A53" s="2">
        <v>52</v>
      </c>
      <c r="B53" s="2" t="s">
        <v>765</v>
      </c>
    </row>
    <row r="54" ht="18" customHeight="1" spans="1:2">
      <c r="A54" s="2">
        <v>53</v>
      </c>
      <c r="B54" s="2" t="s">
        <v>765</v>
      </c>
    </row>
    <row r="55" ht="18" customHeight="1" spans="1:2">
      <c r="A55" s="2">
        <v>54</v>
      </c>
      <c r="B55" s="2" t="s">
        <v>765</v>
      </c>
    </row>
    <row r="56" ht="18" customHeight="1" spans="1:2">
      <c r="A56" s="2">
        <v>55</v>
      </c>
      <c r="B56" s="2" t="s">
        <v>766</v>
      </c>
    </row>
    <row r="57" ht="18" customHeight="1" spans="1:2">
      <c r="A57" s="2">
        <v>56</v>
      </c>
      <c r="B57" s="2" t="s">
        <v>766</v>
      </c>
    </row>
    <row r="58" ht="18" customHeight="1" spans="1:2">
      <c r="A58" s="2">
        <v>57</v>
      </c>
      <c r="B58" s="2" t="s">
        <v>766</v>
      </c>
    </row>
    <row r="59" ht="18" customHeight="1" spans="1:2">
      <c r="A59" s="2">
        <v>58</v>
      </c>
      <c r="B59" s="2" t="s">
        <v>766</v>
      </c>
    </row>
    <row r="60" ht="18" customHeight="1" spans="1:2">
      <c r="A60" s="2">
        <v>59</v>
      </c>
      <c r="B60" s="2" t="s">
        <v>767</v>
      </c>
    </row>
    <row r="61" ht="18" customHeight="1" spans="1:2">
      <c r="A61" s="2">
        <v>60</v>
      </c>
      <c r="B61" s="2" t="s">
        <v>767</v>
      </c>
    </row>
    <row r="62" ht="18" customHeight="1" spans="1:2">
      <c r="A62" s="2">
        <v>61</v>
      </c>
      <c r="B62" s="2" t="s">
        <v>767</v>
      </c>
    </row>
    <row r="63" ht="18" customHeight="1" spans="1:2">
      <c r="A63" s="2">
        <v>62</v>
      </c>
      <c r="B63" s="2" t="s">
        <v>767</v>
      </c>
    </row>
    <row r="64" ht="18" customHeight="1" spans="1:2">
      <c r="A64" s="2">
        <v>63</v>
      </c>
      <c r="B64" s="2" t="s">
        <v>768</v>
      </c>
    </row>
    <row r="65" ht="18" customHeight="1" spans="1:2">
      <c r="A65" s="2">
        <v>64</v>
      </c>
      <c r="B65" s="2" t="s">
        <v>768</v>
      </c>
    </row>
    <row r="66" ht="18" customHeight="1" spans="1:2">
      <c r="A66" s="2">
        <v>65</v>
      </c>
      <c r="B66" s="2" t="s">
        <v>768</v>
      </c>
    </row>
    <row r="67" ht="18" customHeight="1" spans="1:2">
      <c r="A67" s="2">
        <v>66</v>
      </c>
      <c r="B67" s="2" t="s">
        <v>768</v>
      </c>
    </row>
    <row r="68" ht="18" customHeight="1" spans="1:2">
      <c r="A68" s="2">
        <v>67</v>
      </c>
      <c r="B68" s="2" t="s">
        <v>769</v>
      </c>
    </row>
    <row r="69" ht="18" customHeight="1" spans="1:2">
      <c r="A69" s="2">
        <v>68</v>
      </c>
      <c r="B69" s="2" t="s">
        <v>769</v>
      </c>
    </row>
    <row r="70" ht="18" customHeight="1" spans="1:2">
      <c r="A70" s="2">
        <v>69</v>
      </c>
      <c r="B70" s="2" t="s">
        <v>769</v>
      </c>
    </row>
    <row r="71" ht="18" customHeight="1" spans="1:2">
      <c r="A71" s="2">
        <v>70</v>
      </c>
      <c r="B71" s="2" t="s">
        <v>769</v>
      </c>
    </row>
    <row r="72" ht="18" customHeight="1" spans="1:2">
      <c r="A72" s="2">
        <v>71</v>
      </c>
      <c r="B72" s="2" t="s">
        <v>770</v>
      </c>
    </row>
    <row r="73" ht="18" customHeight="1" spans="1:2">
      <c r="A73" s="2">
        <v>72</v>
      </c>
      <c r="B73" s="2" t="s">
        <v>770</v>
      </c>
    </row>
    <row r="74" ht="18" customHeight="1" spans="1:2">
      <c r="A74" s="2">
        <v>73</v>
      </c>
      <c r="B74" s="2" t="s">
        <v>770</v>
      </c>
    </row>
    <row r="75" ht="18" customHeight="1" spans="1:2">
      <c r="A75" s="2">
        <v>74</v>
      </c>
      <c r="B75" s="2" t="s">
        <v>770</v>
      </c>
    </row>
    <row r="76" ht="18" customHeight="1" spans="1:2">
      <c r="A76" s="2">
        <v>75</v>
      </c>
      <c r="B76" s="2" t="s">
        <v>771</v>
      </c>
    </row>
    <row r="77" ht="18" customHeight="1" spans="1:2">
      <c r="A77" s="2">
        <v>76</v>
      </c>
      <c r="B77" s="2" t="s">
        <v>771</v>
      </c>
    </row>
    <row r="78" ht="18" customHeight="1" spans="1:2">
      <c r="A78" s="2">
        <v>77</v>
      </c>
      <c r="B78" s="2" t="s">
        <v>771</v>
      </c>
    </row>
    <row r="79" ht="18" customHeight="1" spans="1:2">
      <c r="A79" s="2">
        <v>78</v>
      </c>
      <c r="B79" s="2" t="s">
        <v>771</v>
      </c>
    </row>
    <row r="80" ht="18" customHeight="1" spans="1:2">
      <c r="A80" s="2">
        <v>79</v>
      </c>
      <c r="B80" s="2" t="s">
        <v>771</v>
      </c>
    </row>
    <row r="81" ht="18" customHeight="1" spans="1:2">
      <c r="A81" s="2">
        <v>80</v>
      </c>
      <c r="B81" s="2" t="s">
        <v>772</v>
      </c>
    </row>
    <row r="82" ht="18" customHeight="1" spans="1:2">
      <c r="A82" s="2">
        <v>81</v>
      </c>
      <c r="B82" s="2" t="s">
        <v>772</v>
      </c>
    </row>
    <row r="83" ht="18" customHeight="1" spans="1:2">
      <c r="A83" s="2">
        <v>82</v>
      </c>
      <c r="B83" s="2" t="s">
        <v>772</v>
      </c>
    </row>
    <row r="84" ht="18" customHeight="1" spans="1:2">
      <c r="A84" s="2">
        <v>83</v>
      </c>
      <c r="B84" s="2" t="s">
        <v>772</v>
      </c>
    </row>
    <row r="85" ht="18" customHeight="1" spans="1:2">
      <c r="A85" s="2">
        <v>84</v>
      </c>
      <c r="B85" s="2" t="s">
        <v>772</v>
      </c>
    </row>
    <row r="86" ht="18" customHeight="1" spans="1:2">
      <c r="A86" s="2">
        <v>85</v>
      </c>
      <c r="B86" s="2" t="s">
        <v>772</v>
      </c>
    </row>
    <row r="87" ht="18" customHeight="1" spans="1:2">
      <c r="A87" s="2">
        <v>86</v>
      </c>
      <c r="B87" s="2" t="s">
        <v>773</v>
      </c>
    </row>
    <row r="88" ht="18" customHeight="1" spans="1:2">
      <c r="A88" s="2">
        <v>87</v>
      </c>
      <c r="B88" s="2" t="s">
        <v>773</v>
      </c>
    </row>
    <row r="89" ht="18" customHeight="1" spans="1:2">
      <c r="A89" s="2">
        <v>88</v>
      </c>
      <c r="B89" s="2" t="s">
        <v>773</v>
      </c>
    </row>
    <row r="90" ht="18" customHeight="1" spans="1:2">
      <c r="A90" s="2">
        <v>89</v>
      </c>
      <c r="B90" s="2" t="s">
        <v>773</v>
      </c>
    </row>
    <row r="91" ht="18" customHeight="1" spans="1:2">
      <c r="A91" s="2">
        <v>90</v>
      </c>
      <c r="B91" s="2" t="s">
        <v>773</v>
      </c>
    </row>
    <row r="92" ht="18" customHeight="1" spans="1:2">
      <c r="A92" s="2">
        <v>91</v>
      </c>
      <c r="B92" s="2" t="s">
        <v>774</v>
      </c>
    </row>
    <row r="93" ht="18" customHeight="1" spans="1:2">
      <c r="A93" s="2">
        <v>92</v>
      </c>
      <c r="B93" s="2" t="s">
        <v>774</v>
      </c>
    </row>
    <row r="94" ht="18" customHeight="1" spans="1:2">
      <c r="A94" s="2">
        <v>93</v>
      </c>
      <c r="B94" s="2" t="s">
        <v>774</v>
      </c>
    </row>
    <row r="95" ht="18" customHeight="1" spans="1:2">
      <c r="A95" s="2">
        <v>94</v>
      </c>
      <c r="B95" s="2" t="s">
        <v>774</v>
      </c>
    </row>
    <row r="96" ht="18" customHeight="1" spans="1:2">
      <c r="A96" s="2">
        <v>95</v>
      </c>
      <c r="B96" s="2" t="s">
        <v>775</v>
      </c>
    </row>
    <row r="97" ht="18" customHeight="1" spans="1:2">
      <c r="A97" s="2">
        <v>96</v>
      </c>
      <c r="B97" s="2" t="s">
        <v>775</v>
      </c>
    </row>
    <row r="98" ht="18" customHeight="1" spans="1:2">
      <c r="A98" s="2">
        <v>97</v>
      </c>
      <c r="B98" s="2" t="s">
        <v>775</v>
      </c>
    </row>
    <row r="99" ht="18" customHeight="1" spans="1:2">
      <c r="A99" s="2">
        <v>98</v>
      </c>
      <c r="B99" s="2" t="s">
        <v>776</v>
      </c>
    </row>
    <row r="100" ht="18" customHeight="1" spans="1:2">
      <c r="A100" s="2">
        <v>99</v>
      </c>
      <c r="B100" s="2" t="s">
        <v>776</v>
      </c>
    </row>
    <row r="101" ht="18" customHeight="1" spans="1:2">
      <c r="A101" s="2">
        <v>100</v>
      </c>
      <c r="B101" s="2" t="s">
        <v>777</v>
      </c>
    </row>
  </sheetData>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7</vt:i4>
      </vt:variant>
    </vt:vector>
  </HeadingPairs>
  <TitlesOfParts>
    <vt:vector size="7" baseType="lpstr">
      <vt:lpstr>人物</vt:lpstr>
      <vt:lpstr>武备</vt:lpstr>
      <vt:lpstr>灵能</vt:lpstr>
      <vt:lpstr>数据导入</vt:lpstr>
      <vt:lpstr>灵能大全</vt:lpstr>
      <vt:lpstr>职业数据</vt:lpstr>
      <vt:lpstr>人物数据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李涛</cp:lastModifiedBy>
  <cp:revision>1</cp:revision>
  <dcterms:created xsi:type="dcterms:W3CDTF">2026-01-28T01:26:00Z</dcterms:created>
  <dcterms:modified xsi:type="dcterms:W3CDTF">2026-07-09T09:18:21Z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C99A03E8B2C344F797C8C25AC66E07FC_13</vt:lpwstr>
  </property>
  <property fmtid="{D5CDD505-2E9C-101B-9397-08002B2CF9AE}" pid="4" name="KSOProductBuildVer">
    <vt:lpwstr>2052-12.1.0.26895</vt:lpwstr>
  </property>
  <property fmtid="{D5CDD505-2E9C-101B-9397-08002B2CF9AE}" pid="5" name="KSOReadingLayout">
    <vt:bool>false</vt:bool>
  </property>
</Properties>
</file>