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850" windowHeight="11630" tabRatio="500"/>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definedNames>
    <definedName name="_xlnm._FilterDatabase" localSheetId="4" hidden="1">灵能大全!$B$2:$B$136</definedName>
    <definedName name="预言">灵能大全!$C$65:$I$74</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<sst xmlns="http://schemas.openxmlformats.org/spreadsheetml/2006/main" count="1603" uniqueCount="773">
  <si>
    <t>玩家</t>
  </si>
  <si>
    <t>角色</t>
  </si>
  <si>
    <t>资金</t>
  </si>
  <si>
    <t>启用月工资</t>
  </si>
  <si>
    <t>合计</t>
  </si>
  <si>
    <t>出身</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</si>
  <si>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</si>
  <si>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</si>
  <si>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</si>
  <si>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</si>
  <si>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</si>
  <si>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</si>
  <si>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</si>
  <si>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</si>
  <si>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</si>
  <si>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</si>
  <si>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</si>
  <si>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</si>
  <si>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</si>
  <si>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</si>
  <si>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</si>
  <si>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</si>
  <si>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</si>
  <si>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投掷</t>
  </si>
  <si>
    <t>状态</t>
  </si>
  <si>
    <t>身高</t>
  </si>
  <si>
    <t>虹膜</t>
  </si>
  <si>
    <t>整体
形象</t>
  </si>
  <si>
    <t>年龄</t>
  </si>
  <si>
    <t>发型</t>
  </si>
  <si>
    <t>属性情况</t>
  </si>
  <si>
    <t>基础</t>
  </si>
  <si>
    <t>超然</t>
  </si>
  <si>
    <t>备注</t>
  </si>
  <si>
    <t>加成</t>
  </si>
  <si>
    <t>训练</t>
  </si>
  <si>
    <t>花费</t>
  </si>
  <si>
    <t>减值</t>
  </si>
  <si>
    <t>最终</t>
  </si>
  <si>
    <t>加值</t>
  </si>
  <si>
    <t>命
运
点</t>
  </si>
  <si>
    <t>失心</t>
  </si>
  <si>
    <t>堕落</t>
  </si>
  <si>
    <t>角色头像</t>
  </si>
  <si>
    <t>近战 WS</t>
  </si>
  <si>
    <t>远程 BS</t>
  </si>
  <si>
    <t>力量 S</t>
  </si>
  <si>
    <t>坚韧 T</t>
  </si>
  <si>
    <t>敏捷 Ag</t>
  </si>
  <si>
    <t>剩
余</t>
  </si>
  <si>
    <t>智力 Int</t>
  </si>
  <si>
    <t>感知 Per</t>
  </si>
  <si>
    <t>意志 WP</t>
  </si>
  <si>
    <t>交际 Fel</t>
  </si>
  <si>
    <t>承伤和防护情况（简）</t>
  </si>
  <si>
    <t>致命伤情况</t>
  </si>
  <si>
    <t>承伤</t>
  </si>
  <si>
    <t>最终承伤</t>
  </si>
  <si>
    <t>头部 0-1</t>
  </si>
  <si>
    <t>躯干 31-70</t>
  </si>
  <si>
    <t>装备数值</t>
  </si>
  <si>
    <t>头部
0-1</t>
  </si>
  <si>
    <t>右臂
11-20</t>
  </si>
  <si>
    <t>左臂
21-30</t>
  </si>
  <si>
    <t>躯干
31-70</t>
  </si>
  <si>
    <t>右腿
71-85</t>
  </si>
  <si>
    <t>左腿
86-00</t>
  </si>
  <si>
    <t>血肉苦弱</t>
  </si>
  <si>
    <t>右手 11-20</t>
  </si>
  <si>
    <t>左手 21-30</t>
  </si>
  <si>
    <t>额外护甲</t>
  </si>
  <si>
    <t>特殊护甲</t>
  </si>
  <si>
    <t>无</t>
  </si>
  <si>
    <t>左腿 86-00</t>
  </si>
  <si>
    <t>左腿 71-85</t>
  </si>
  <si>
    <t>额外坚韧</t>
  </si>
  <si>
    <t>坚韧加值</t>
  </si>
  <si>
    <t>其他</t>
  </si>
  <si>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</si>
  <si>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</si>
  <si>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</si>
  <si>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</si>
  <si>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</si>
  <si>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</si>
  <si>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</si>
  <si>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</si>
  <si>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</si>
  <si>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</si>
  <si>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</si>
  <si>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</si>
  <si>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</si>
  <si>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</si>
  <si>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</si>
  <si>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</si>
  <si>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</si>
  <si>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</si>
  <si>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</si>
  <si>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</si>
  <si>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</si>
  <si>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</si>
  <si>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进阶情况</t>
  </si>
  <si>
    <t>否</t>
  </si>
  <si>
    <t>暂无</t>
  </si>
  <si>
    <t>Rank</t>
  </si>
  <si>
    <t>属性</t>
  </si>
  <si>
    <t>技能</t>
  </si>
  <si>
    <t>天赋</t>
  </si>
  <si>
    <t>经验开销（手动）</t>
  </si>
  <si>
    <t>基础技能</t>
  </si>
  <si>
    <t>名称</t>
  </si>
  <si>
    <t>受训</t>
  </si>
  <si>
    <t>+10</t>
  </si>
  <si>
    <t>+20</t>
  </si>
  <si>
    <t>数值</t>
  </si>
  <si>
    <t>其他加成情况</t>
  </si>
  <si>
    <t>威胁/恐吓</t>
  </si>
  <si>
    <t>S</t>
  </si>
  <si>
    <t>攀爬/运动</t>
  </si>
  <si>
    <t>游泳</t>
  </si>
  <si>
    <t>酗酒/狂欢</t>
  </si>
  <si>
    <t>T</t>
  </si>
  <si>
    <t>躲藏</t>
  </si>
  <si>
    <t>AG</t>
  </si>
  <si>
    <t>闪避</t>
  </si>
  <si>
    <t>潜行</t>
  </si>
  <si>
    <t>估价</t>
  </si>
  <si>
    <t>INT</t>
  </si>
  <si>
    <t>逻辑</t>
  </si>
  <si>
    <t>赌博</t>
  </si>
  <si>
    <t>警觉</t>
  </si>
  <si>
    <t>PER</t>
  </si>
  <si>
    <t>搜查/搜索</t>
  </si>
  <si>
    <t>察言观色</t>
  </si>
  <si>
    <t>交易</t>
  </si>
  <si>
    <t>FEL</t>
  </si>
  <si>
    <t>武器训练</t>
  </si>
  <si>
    <t>欺诈</t>
  </si>
  <si>
    <t>搜集信息</t>
  </si>
  <si>
    <t>格斗</t>
  </si>
  <si>
    <t>伪装</t>
  </si>
  <si>
    <t>手枪</t>
  </si>
  <si>
    <t>吸引</t>
  </si>
  <si>
    <t>重型</t>
  </si>
  <si>
    <t>扯淡</t>
  </si>
  <si>
    <t>特种</t>
  </si>
  <si>
    <t>指挥</t>
  </si>
  <si>
    <t>防护立场（简）</t>
  </si>
  <si>
    <t>影响力天赋</t>
  </si>
  <si>
    <t>防护类型</t>
  </si>
  <si>
    <t>减伤数值</t>
  </si>
  <si>
    <t>完全失效</t>
  </si>
  <si>
    <t>过载</t>
  </si>
  <si>
    <t>持续时间/充能</t>
  </si>
  <si>
    <t>平等待遇</t>
  </si>
  <si>
    <t>有口皆碑</t>
  </si>
  <si>
    <t>护甲、植入物与其他效果</t>
  </si>
  <si>
    <t>详情</t>
  </si>
  <si>
    <t>对手</t>
  </si>
  <si>
    <t>不共戴天</t>
  </si>
  <si>
    <t>高级技能</t>
  </si>
  <si>
    <t>详细情况</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</si>
  <si>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</si>
  <si>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</si>
  <si>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</si>
  <si>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</si>
  <si>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</si>
  <si>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</si>
  <si>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</si>
  <si>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</si>
  <si>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</si>
  <si>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</si>
  <si>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</si>
  <si>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</si>
  <si>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</si>
  <si>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</si>
  <si>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</si>
  <si>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</si>
  <si>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</si>
  <si>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</si>
  <si>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</si>
  <si>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</si>
  <si>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</si>
  <si>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</si>
  <si>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</si>
  <si>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</si>
  <si>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</si>
  <si>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</si>
  <si>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</si>
  <si>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</si>
  <si>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</si>
  <si>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</si>
  <si>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</si>
  <si>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</si>
  <si>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</si>
  <si>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</si>
  <si>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</si>
  <si>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</si>
  <si>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</si>
  <si>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</si>
  <si>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</si>
  <si>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</si>
  <si>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</si>
  <si>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</si>
  <si>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</si>
  <si>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</si>
  <si>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</si>
  <si>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伙伴样貌</t>
  </si>
  <si>
    <t>护甲</t>
  </si>
  <si>
    <t>装备</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</si>
  <si>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</si>
  <si>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</si>
  <si>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</si>
  <si>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</si>
  <si>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</si>
  <si>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</si>
  <si>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</si>
  <si>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</si>
  <si>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</si>
  <si>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</si>
  <si>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</si>
  <si>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</si>
  <si>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</si>
  <si>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</si>
  <si>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</si>
  <si>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</si>
  <si>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</si>
  <si>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</si>
  <si>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</si>
  <si>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</si>
  <si>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</si>
  <si>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</si>
  <si>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</si>
  <si>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</si>
  <si>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</si>
  <si>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</si>
  <si>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</si>
  <si>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</si>
  <si>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</si>
  <si>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</si>
  <si>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</si>
  <si>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</si>
  <si>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</si>
  <si>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</si>
  <si>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</si>
  <si>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</si>
  <si>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</si>
  <si>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</si>
  <si>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</si>
  <si>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</si>
  <si>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</si>
  <si>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</si>
  <si>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</si>
  <si>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</si>
  <si>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</si>
  <si>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</si>
  <si>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</si>
  <si>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</si>
  <si>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</si>
  <si>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</si>
  <si>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</si>
  <si>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</si>
  <si>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</si>
  <si>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</si>
  <si>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</si>
  <si>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</si>
  <si>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</si>
  <si>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</si>
  <si>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</si>
  <si>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</si>
  <si>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</si>
  <si>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</si>
  <si>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</si>
  <si>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</si>
  <si>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</si>
  <si>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</si>
  <si>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</si>
  <si>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</si>
  <si>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</si>
  <si>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</si>
  <si>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</si>
  <si>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</si>
  <si>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</si>
  <si>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</si>
  <si>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</si>
  <si>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</si>
  <si>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</si>
  <si>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</si>
  <si>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</si>
  <si>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</si>
  <si>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</si>
  <si>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</si>
  <si>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</si>
  <si>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</si>
  <si>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</si>
  <si>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</si>
  <si>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</si>
  <si>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</si>
  <si>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</si>
  <si>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</si>
  <si>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</si>
  <si>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</si>
  <si>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</si>
  <si>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</si>
  <si>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</si>
  <si>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</si>
  <si>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</si>
  <si>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</si>
  <si>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</si>
  <si>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</si>
  <si>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</si>
  <si>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</si>
  <si>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</si>
  <si>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</si>
  <si>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</si>
  <si>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</si>
  <si>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</si>
  <si>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</si>
  <si>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</si>
  <si>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</si>
  <si>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</si>
  <si>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</si>
  <si>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</si>
  <si>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</si>
  <si>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</si>
  <si>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</si>
  <si>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</si>
  <si>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</si>
  <si>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</si>
  <si>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</si>
  <si>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</si>
  <si>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</si>
  <si>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</si>
  <si>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</si>
  <si>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</si>
  <si>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</si>
  <si>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</si>
  <si>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</si>
  <si>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</si>
  <si>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</si>
  <si>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</si>
  <si>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</si>
  <si>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</si>
  <si>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</si>
  <si>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</si>
  <si>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</si>
  <si>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</si>
  <si>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</si>
  <si>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</si>
  <si>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</si>
  <si>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</si>
  <si>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</si>
  <si>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</si>
  <si>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</si>
  <si>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</si>
  <si>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</si>
  <si>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</si>
  <si>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</si>
  <si>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</si>
  <si>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</si>
  <si>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</si>
  <si>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</si>
  <si>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</si>
  <si>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</si>
  <si>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</si>
  <si>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</si>
  <si>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</si>
  <si>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</si>
  <si>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</si>
  <si>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</si>
  <si>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</si>
  <si>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</si>
  <si>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</si>
  <si>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</si>
  <si>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</si>
  <si>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</si>
  <si>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</si>
  <si>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</si>
  <si>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</si>
  <si>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</si>
  <si>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</si>
  <si>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</si>
  <si>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</si>
  <si>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</si>
  <si>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</si>
  <si>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</si>
  <si>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</si>
  <si>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</si>
  <si>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</si>
  <si>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</si>
  <si>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</si>
  <si>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</si>
  <si>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</si>
  <si>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</si>
  <si>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</si>
  <si>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</si>
  <si>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</si>
  <si>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</si>
  <si>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</si>
  <si>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</si>
  <si>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</si>
  <si>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</si>
  <si>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</si>
  <si>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</si>
  <si>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</si>
  <si>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</si>
  <si>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</si>
  <si>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</si>
  <si>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</si>
  <si>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</si>
  <si>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害兽语说</t>
  </si>
  <si>
    <t>灵能者以意念延伸感知，借由附近生物的眼耳去看、与听。施展成功后，灵能者可以看见、听见五十米范围内任一目标所看到、听到的一切。灵能者必须先能察觉到某个生物的存在，然后才能对该目标施展灵能。维持这项灵能期间，灵能者每回合只能进行一个部分动作，因其注意力正被借来的耳目所分散。灵能者可以通过目标生物进行基于感知的检定，具体由游戏主持人裁定，检定使用目标生物的感知属性及其拥有的相关感知技能。
这项灵能无法让灵能者借由目标所不具备的感官去感知。例如，目标没有眼睛则无法视物。同样，灵能者也无法使用目标拥有的特殊感官，例如声呐。
注意：这项灵能不会赋予灵能者对其目标生物的控制权。目标生物将照常行动，并且可能游走出灵能的有效范围，此时灵能将自动终止。目标甚至有可能出于敌意或饥饿而攻击灵能者本人！灵能者可以使用其他灵能（如兽性主宰）来控制目标生物。</t>
  </si>
  <si>
    <t>每超出阈值 5 点，灵能的有效距离增加 10 米。</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</si>
  <si>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</si>
  <si>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</si>
  <si>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</si>
  <si>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</si>
  <si>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</si>
  <si>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</si>
  <si>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</si>
  <si>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</si>
  <si>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</si>
  <si>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</si>
  <si>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</si>
  <si>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</si>
  <si>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</si>
  <si>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</si>
  <si>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</si>
  <si>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</si>
  <si>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</si>
  <si>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</si>
  <si>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</si>
  <si>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</si>
  <si>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</si>
  <si>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</si>
  <si>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</si>
  <si>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</si>
  <si>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</si>
  <si>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</si>
  <si>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</si>
  <si>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</si>
  <si>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</si>
  <si>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</si>
  <si>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</si>
  <si>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</si>
  <si>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</si>
  <si>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</si>
  <si>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</si>
  <si>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</si>
  <si>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</si>
  <si>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</si>
  <si>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</si>
  <si>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</si>
  <si>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</si>
  <si>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</si>
  <si>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</si>
  <si>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</si>
  <si>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</si>
  <si>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</si>
  <si>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</si>
  <si>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</si>
  <si>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</si>
  <si>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</si>
  <si>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</si>
  <si>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</si>
  <si>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</si>
  <si>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</si>
  <si>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</si>
  <si>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</si>
  <si>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</si>
  <si>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</si>
  <si>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</si>
  <si>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</si>
  <si>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</si>
  <si>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</si>
  <si>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</si>
  <si>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</si>
  <si>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</si>
  <si>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</si>
  <si>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</si>
  <si>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</si>
  <si>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</si>
  <si>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</si>
  <si>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</si>
  <si>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</si>
  <si>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</si>
  <si>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</si>
  <si>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</si>
  <si>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</si>
  <si>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</si>
  <si>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</si>
  <si>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</si>
  <si>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</si>
  <si>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</si>
  <si>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</si>
  <si>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</si>
  <si>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</si>
  <si>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</si>
  <si>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</si>
  <si>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</si>
  <si>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</si>
  <si>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</si>
  <si>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</si>
  <si>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</si>
  <si>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</si>
  <si>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</si>
  <si>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</si>
  <si>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</si>
  <si>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</si>
  <si>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</si>
  <si>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</si>
  <si>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</si>
  <si>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</si>
  <si>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</si>
  <si>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</si>
  <si>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</si>
  <si>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</si>
  <si>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</si>
  <si>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</si>
  <si>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</si>
  <si>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</si>
  <si>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</si>
  <si>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</si>
  <si>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</si>
  <si>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</si>
  <si>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</si>
  <si>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</si>
  <si>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</si>
  <si>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</si>
  <si>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</si>
  <si>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</si>
  <si>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</si>
  <si>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</si>
  <si>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</si>
  <si>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</si>
  <si>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</si>
  <si>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</si>
  <si>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</si>
  <si>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</si>
  <si>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</si>
  <si>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</si>
  <si>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</si>
  <si>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</si>
  <si>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</si>
  <si>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</si>
  <si>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</si>
  <si>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</si>
  <si>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</si>
  <si>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</si>
  <si>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</si>
  <si>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</si>
  <si>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</si>
  <si>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</si>
  <si>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</si>
  <si>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</si>
  <si>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</si>
  <si>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</si>
  <si>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</si>
  <si>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</si>
  <si>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</si>
  <si>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</si>
  <si>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</si>
  <si>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</si>
  <si>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</si>
  <si>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</si>
  <si>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</si>
  <si>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</si>
  <si>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</si>
  <si>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野兽盟友</t>
  </si>
  <si>
    <t>灵能者试图彻底支配一头野兽，使其留下铭印（imprint），成为自己的忠实盟友。这项灵能仅可作用于具有野兽特性、承伤少于 20 点，且智力属性至少为 05 的生物，游戏主持人可以酌情增设其他限制。
施展灵能时，灵能者须与目标进行意志检定对抗。若灵能者获胜，野兽会将灵能者视为族群领袖，或同类中的支配者。野兽仍然依本能行动，但会紧伴灵能者左右，并遵从灵能者的传心指令。这项效果是永久性的。然而，若灵能者下达的命令会迫使野兽伤害自己（如步入火中、跳下悬崖等），灵能者必须通过一次艰巨难度（-20）的意志检定。检定成功，野兽遵从指令；反之，野兽将挣脱精神控制。灵能者可支配的野兽数量不得超过其灵能等级。
如果灵能者未能支配该野兽，或野兽挣脱了控制，目标野兽便会扑向灵能者，狂怒地发起进攻，绝不逃跑或退缩。如果灵能者试图再次对该野兽使用这项灵能，目标野兽的意志检定获得 +10 加值。</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</si>
  <si>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</si>
  <si>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</si>
  <si>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</si>
  <si>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</si>
  <si>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</si>
  <si>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</si>
  <si>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</si>
  <si>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</si>
  <si>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</si>
  <si>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</si>
  <si>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</si>
  <si>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</si>
  <si>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</si>
  <si>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</si>
  <si>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</si>
  <si>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</si>
  <si>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</si>
  <si>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</si>
  <si>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</si>
  <si>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</si>
  <si>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</si>
  <si>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</si>
  <si>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</si>
  <si>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</si>
  <si>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</si>
  <si>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</si>
  <si>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</si>
  <si>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</si>
  <si>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</si>
  <si>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</si>
  <si>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</si>
  <si>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</si>
  <si>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</si>
  <si>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</si>
  <si>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</si>
  <si>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</si>
  <si>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</si>
  <si>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</si>
  <si>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</si>
  <si>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</si>
  <si>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</si>
  <si>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</si>
  <si>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</si>
  <si>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</si>
  <si>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</si>
  <si>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</si>
  <si>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</si>
  <si>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</si>
  <si>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</si>
  <si>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</si>
  <si>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</si>
  <si>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</si>
  <si>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</si>
  <si>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</si>
  <si>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</si>
  <si>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</si>
  <si>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</si>
  <si>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</si>
  <si>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</si>
  <si>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</si>
  <si>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</si>
  <si>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</si>
  <si>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</si>
  <si>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</si>
  <si>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</si>
  <si>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</si>
  <si>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</si>
  <si>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</si>
  <si>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</si>
  <si>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</si>
  <si>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</si>
  <si>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</si>
  <si>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</si>
  <si>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</si>
  <si>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</si>
  <si>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</si>
  <si>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</si>
  <si>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</si>
  <si>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</si>
  <si>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</si>
  <si>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</si>
  <si>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</si>
  <si>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</si>
  <si>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</si>
  <si>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</si>
  <si>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</si>
  <si>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</si>
  <si>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</si>
  <si>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</si>
  <si>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</si>
  <si>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</si>
  <si>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</si>
  <si>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</si>
  <si>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</si>
  <si>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</si>
  <si>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</si>
  <si>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</si>
  <si>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</si>
  <si>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</si>
  <si>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</si>
  <si>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</si>
  <si>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</si>
  <si>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出目</t>
  </si>
  <si>
    <t>携带</t>
  </si>
  <si>
    <t>缩写</t>
  </si>
  <si>
    <t>AB</t>
  </si>
  <si>
    <t>部分移动</t>
  </si>
  <si>
    <t>完整移动</t>
  </si>
  <si>
    <t>冲刺</t>
  </si>
  <si>
    <t>体型</t>
  </si>
  <si>
    <t>检定调整</t>
  </si>
  <si>
    <t>起源</t>
  </si>
  <si>
    <t>“外表的变异，揭示着内心的腐化。”
以一个次级变异状态开始游戏。</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</si>
  <si>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</si>
  <si>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</si>
  <si>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</si>
  <si>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</si>
  <si>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</si>
  <si>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24m</t>
  </si>
  <si>
    <t>1.5km</t>
  </si>
  <si>
    <t>15km</t>
  </si>
  <si>
    <t>超小</t>
  </si>
  <si>
    <t>帝国世界</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</si>
  <si>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</si>
  <si>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</si>
  <si>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</si>
  <si>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</si>
  <si>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</si>
  <si>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</si>
  <si>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72m</t>
  </si>
  <si>
    <t>4km</t>
  </si>
  <si>
    <t>40km</t>
  </si>
  <si>
    <t>中型</t>
  </si>
  <si>
    <t>虚空</t>
  </si>
  <si>
    <t>Ag</t>
  </si>
  <si>
    <t>96m</t>
  </si>
  <si>
    <t>6km</t>
  </si>
  <si>
    <t>60km</t>
  </si>
  <si>
    <t>大型</t>
  </si>
  <si>
    <t>铸造世界</t>
  </si>
  <si>
    <t>Int</t>
  </si>
  <si>
    <t>120m</t>
  </si>
  <si>
    <t>70km</t>
  </si>
  <si>
    <t>超大</t>
  </si>
  <si>
    <t>被洗脑者</t>
  </si>
  <si>
    <t>Per</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</si>
  <si>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</si>
  <si>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</si>
  <si>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</si>
  <si>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</si>
  <si>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</si>
  <si>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</si>
  <si>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</si>
  <si>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</si>
  <si>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</si>
  <si>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</si>
  <si>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</si>
  <si>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Fel</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</si>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</sst>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0">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000000"/>
      <name val="黑体"/>
      <charset val="134"/>
    </font>
    <font>
      <sz val="11"/>
      <color theme="0"/>
      <name val="黑体"/>
      <charset val="134"/>
    </font>
    <font>
      <sz val="12"/>
      <name val="等线"/>
      <charset val="134"/>
    </font>
    <font>
      <sz val="10"/>
      <color theme="0"/>
      <name val="黑体"/>
      <charset val="134"/>
    </font>
    <font>
      <b/>
      <sz val="12"/>
      <color rgb="FFFFFFFF"/>
      <name val="黑体"/>
      <charset val="134"/>
    </font>
    <font>
      <sz val="12"/>
      <color rgb="FFFF0000"/>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宋体"/>
      <charset val="134"/>
    </font>
  </fonts>
  <fills count="59">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rgb="FFD6DCE4"/>
        <bgColor indexed="64"/>
      </patternFill>
    </fill>
    <fill>
      <patternFill patternType="solid">
        <fgColor rgb="FF8497B0"/>
        <bgColor indexed="64"/>
      </patternFill>
    </fill>
    <fill>
      <patternFill patternType="solid">
        <fgColor rgb="FF333F4F"/>
        <bgColor indexed="64"/>
      </patternFill>
    </fill>
    <fill>
      <patternFill patternType="solid">
        <fgColor rgb="FFFEFDFB"/>
        <bgColor indexed="64"/>
      </patternFill>
    </fill>
    <fill>
      <patternFill patternType="solid">
        <fgColor rgb="FF000000"/>
        <bgColor rgb="FF121316"/>
      </patternFill>
    </fill>
    <fill>
      <patternFill patternType="solid">
        <fgColor rgb="FF44546A"/>
        <bgColor rgb="FF595959"/>
      </patternFill>
    </fill>
    <fill>
      <patternFill patternType="solid">
        <fgColor rgb="FF8497B0"/>
        <bgColor rgb="FF8B8B8B"/>
      </patternFill>
    </fill>
    <fill>
      <patternFill patternType="solid">
        <fgColor theme="0"/>
        <bgColor rgb="FFD9D9D9"/>
      </patternFill>
    </fill>
    <fill>
      <patternFill patternType="solid">
        <fgColor rgb="FFD6DCE4"/>
        <bgColor rgb="FFD9D9D9"/>
      </patternFill>
    </fill>
    <fill>
      <patternFill patternType="solid">
        <fgColor rgb="FF000000"/>
        <bgColor indexed="64"/>
      </patternFill>
    </fill>
    <fill>
      <patternFill patternType="solid">
        <fgColor theme="3"/>
        <bgColor indexed="64"/>
      </patternFill>
    </fill>
    <fill>
      <patternFill patternType="solid">
        <fgColor theme="3" tint="0.4"/>
        <bgColor indexed="64"/>
      </patternFill>
    </fill>
    <fill>
      <patternFill patternType="solid">
        <fgColor rgb="FFACB9CA"/>
        <bgColor indexed="64"/>
      </patternFill>
    </fill>
    <fill>
      <patternFill patternType="solid">
        <fgColor theme="3" tint="0.399975585192419"/>
        <bgColor indexed="64"/>
      </patternFill>
    </fill>
    <fill>
      <patternFill patternType="solid">
        <fgColor rgb="FFFFFFFF"/>
        <bgColor rgb="FFF2F2F2"/>
      </patternFill>
    </fill>
    <fill>
      <patternFill patternType="solid">
        <fgColor rgb="FF333F4F"/>
        <bgColor rgb="FF404040"/>
      </patternFill>
    </fill>
    <fill>
      <patternFill patternType="solid">
        <fgColor rgb="FFACB9CA"/>
        <bgColor rgb="FFA6A6A6"/>
      </patternFill>
    </fill>
    <fill>
      <patternFill patternType="solid">
        <fgColor theme="1"/>
        <bgColor rgb="FF121316"/>
      </patternFill>
    </fill>
    <fill>
      <patternFill patternType="solid">
        <fgColor theme="1"/>
        <bgColor rgb="FFF2F2F2"/>
      </patternFill>
    </fill>
    <fill>
      <patternFill patternType="solid">
        <fgColor rgb="FF8497B0"/>
        <bgColor rgb="FFA6A6A6"/>
      </patternFill>
    </fill>
    <fill>
      <patternFill patternType="solid">
        <fgColor theme="3" tint="0.8"/>
        <bgColor indexed="64"/>
      </patternFill>
    </fill>
    <fill>
      <patternFill patternType="solid">
        <fgColor rgb="FFFEFDFB"/>
        <bgColor rgb="FFF2F2F2"/>
      </patternFill>
    </fill>
    <fill>
      <patternFill patternType="solid">
        <fgColor rgb="FF282828"/>
        <bgColor rgb="FF121316"/>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282828"/>
      </left>
      <right style="thin">
        <color rgb="FF282828"/>
      </right>
      <top style="thin">
        <color rgb="FF282828"/>
      </top>
      <bottom style="thin">
        <color rgb="FF282828"/>
      </bottom>
      <diagonal/>
    </border>
    <border>
      <left style="thin">
        <color rgb="FF282828"/>
      </left>
      <right/>
      <top style="thin">
        <color rgb="FF282828"/>
      </top>
      <bottom style="thin">
        <color rgb="FF282828"/>
      </bottom>
      <diagonal/>
    </border>
    <border>
      <left/>
      <right/>
      <top style="thin">
        <color rgb="FF282828"/>
      </top>
      <bottom style="thin">
        <color rgb="FF282828"/>
      </bottom>
      <diagonal/>
    </border>
    <border>
      <left/>
      <right style="thin">
        <color rgb="FF282828"/>
      </right>
      <top style="thin">
        <color rgb="FF282828"/>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top/>
      <bottom/>
      <diagonal/>
    </border>
    <border>
      <left/>
      <right style="thin">
        <color rgb="FF282828"/>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7" fillId="0" borderId="0">
      <alignment vertical="top"/>
      <protection locked="0"/>
    </xf>
    <xf numFmtId="44" fontId="18" fillId="0" borderId="0" applyBorder="0" applyAlignment="0" applyProtection="0"/>
    <xf numFmtId="9" fontId="18" fillId="0" borderId="0" applyBorder="0" applyAlignment="0" applyProtection="0"/>
    <xf numFmtId="41" fontId="18" fillId="0" borderId="0" applyBorder="0" applyAlignment="0" applyProtection="0"/>
    <xf numFmtId="42" fontId="18" fillId="0" borderId="0" applyBorder="0" applyAlignment="0" applyProtection="0"/>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28" borderId="40"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1" applyNumberFormat="0" applyFill="0" applyAlignment="0" applyProtection="0">
      <alignment vertical="center"/>
    </xf>
    <xf numFmtId="0" fontId="26" fillId="0" borderId="41" applyNumberFormat="0" applyFill="0" applyAlignment="0" applyProtection="0">
      <alignment vertical="center"/>
    </xf>
    <xf numFmtId="0" fontId="27" fillId="0" borderId="42" applyNumberFormat="0" applyFill="0" applyAlignment="0" applyProtection="0">
      <alignment vertical="center"/>
    </xf>
    <xf numFmtId="0" fontId="27" fillId="0" borderId="0" applyNumberFormat="0" applyFill="0" applyBorder="0" applyAlignment="0" applyProtection="0">
      <alignment vertical="center"/>
    </xf>
    <xf numFmtId="0" fontId="28" fillId="29" borderId="43" applyNumberFormat="0" applyAlignment="0" applyProtection="0">
      <alignment vertical="center"/>
    </xf>
    <xf numFmtId="0" fontId="29" fillId="30" borderId="44" applyNumberFormat="0" applyAlignment="0" applyProtection="0">
      <alignment vertical="center"/>
    </xf>
    <xf numFmtId="0" fontId="30" fillId="30" borderId="43" applyNumberFormat="0" applyAlignment="0" applyProtection="0">
      <alignment vertical="center"/>
    </xf>
    <xf numFmtId="0" fontId="31" fillId="31" borderId="45" applyNumberFormat="0" applyAlignment="0" applyProtection="0">
      <alignment vertical="center"/>
    </xf>
    <xf numFmtId="0" fontId="32" fillId="0" borderId="46" applyNumberFormat="0" applyFill="0" applyAlignment="0" applyProtection="0">
      <alignment vertical="center"/>
    </xf>
    <xf numFmtId="0" fontId="33" fillId="0" borderId="47" applyNumberFormat="0" applyFill="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7" fillId="46" borderId="0" applyNumberFormat="0" applyBorder="0" applyAlignment="0" applyProtection="0">
      <alignment vertical="center"/>
    </xf>
    <xf numFmtId="0" fontId="37" fillId="47"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7" fillId="50" borderId="0" applyNumberFormat="0" applyBorder="0" applyAlignment="0" applyProtection="0">
      <alignment vertical="center"/>
    </xf>
    <xf numFmtId="0" fontId="37" fillId="51" borderId="0" applyNumberFormat="0" applyBorder="0" applyAlignment="0" applyProtection="0">
      <alignment vertical="center"/>
    </xf>
    <xf numFmtId="0" fontId="38" fillId="52" borderId="0" applyNumberFormat="0" applyBorder="0" applyAlignment="0" applyProtection="0">
      <alignment vertical="center"/>
    </xf>
    <xf numFmtId="0" fontId="38" fillId="53"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8" fillId="56" borderId="0" applyNumberFormat="0" applyBorder="0" applyAlignment="0" applyProtection="0">
      <alignment vertical="center"/>
    </xf>
    <xf numFmtId="0" fontId="38" fillId="57" borderId="0" applyNumberFormat="0" applyBorder="0" applyAlignment="0" applyProtection="0">
      <alignment vertical="center"/>
    </xf>
    <xf numFmtId="0" fontId="37" fillId="58" borderId="0" applyNumberFormat="0" applyBorder="0" applyAlignment="0" applyProtection="0">
      <alignment vertical="center"/>
    </xf>
    <xf numFmtId="0" fontId="39" fillId="0" borderId="0">
      <protection locked="0"/>
    </xf>
  </cellStyleXfs>
  <cellXfs count="296">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6" borderId="5" xfId="0" applyFont="1" applyFill="1" applyBorder="1" applyAlignment="1">
      <alignment horizontal="center" vertical="center"/>
    </xf>
    <xf numFmtId="0" fontId="8" fillId="6" borderId="0" xfId="0" applyFont="1" applyFill="1" applyAlignment="1">
      <alignment horizontal="center" vertical="center"/>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9" fillId="0" borderId="5" xfId="0" applyFont="1" applyBorder="1" applyAlignment="1">
      <alignment horizontal="left" vertical="center" wrapText="1"/>
    </xf>
    <xf numFmtId="0" fontId="9" fillId="0" borderId="5" xfId="0" applyFont="1" applyFill="1" applyBorder="1" applyAlignment="1">
      <alignment horizontal="left" vertical="center" wrapText="1"/>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3" xfId="0" applyFont="1" applyFill="1" applyBorder="1" applyAlignment="1">
      <alignment horizontal="center" vertical="center"/>
    </xf>
    <xf numFmtId="0" fontId="1" fillId="0" borderId="0" xfId="0" applyFont="1">
      <alignment vertical="center"/>
    </xf>
    <xf numFmtId="0" fontId="11" fillId="0" borderId="0" xfId="0" applyFont="1">
      <alignment vertical="center"/>
    </xf>
    <xf numFmtId="0" fontId="9" fillId="8" borderId="0" xfId="0" applyFont="1" applyFill="1" applyAlignment="1" applyProtection="1">
      <alignment horizontal="center" vertical="center"/>
      <protection hidden="1"/>
    </xf>
    <xf numFmtId="0" fontId="5" fillId="9" borderId="5" xfId="49" applyFont="1" applyFill="1" applyBorder="1" applyAlignment="1" applyProtection="1">
      <alignment horizontal="center" vertical="center"/>
    </xf>
    <xf numFmtId="0" fontId="5" fillId="9" borderId="12" xfId="49" applyFont="1" applyFill="1" applyBorder="1" applyAlignment="1" applyProtection="1">
      <alignment horizontal="center" vertical="center"/>
    </xf>
    <xf numFmtId="0" fontId="5" fillId="9" borderId="14" xfId="49" applyFont="1" applyFill="1" applyBorder="1" applyAlignment="1" applyProtection="1">
      <alignment horizontal="center" vertical="center"/>
    </xf>
    <xf numFmtId="0" fontId="5" fillId="9" borderId="13" xfId="49" applyFont="1" applyFill="1" applyBorder="1" applyAlignment="1" applyProtection="1">
      <alignment horizontal="center" vertical="center"/>
    </xf>
    <xf numFmtId="0" fontId="1" fillId="10" borderId="5" xfId="49" applyFont="1" applyFill="1" applyBorder="1" applyAlignment="1" applyProtection="1">
      <alignment horizontal="center" vertical="center"/>
    </xf>
    <xf numFmtId="0" fontId="1" fillId="10" borderId="12" xfId="49" applyFont="1" applyFill="1" applyBorder="1" applyAlignment="1" applyProtection="1">
      <alignment horizontal="center" vertical="center"/>
    </xf>
    <xf numFmtId="0" fontId="1" fillId="10" borderId="14" xfId="49" applyFont="1" applyFill="1" applyBorder="1" applyAlignment="1" applyProtection="1">
      <alignment horizontal="center" vertical="center"/>
    </xf>
    <xf numFmtId="0" fontId="1" fillId="10" borderId="13" xfId="49" applyFont="1" applyFill="1" applyBorder="1" applyAlignment="1" applyProtection="1">
      <alignment horizontal="center" vertical="center"/>
    </xf>
    <xf numFmtId="0" fontId="1" fillId="11" borderId="5" xfId="49" applyFont="1" applyFill="1" applyBorder="1" applyAlignment="1" applyProtection="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12" borderId="5" xfId="49" applyFont="1" applyFill="1" applyBorder="1" applyAlignment="1" applyProtection="1">
      <alignment horizontal="center" vertical="center"/>
    </xf>
    <xf numFmtId="0" fontId="1" fillId="0" borderId="5" xfId="0" applyFont="1" applyBorder="1" applyAlignment="1">
      <alignment horizontal="center" vertical="center"/>
    </xf>
    <xf numFmtId="0" fontId="5" fillId="9" borderId="8" xfId="49" applyFont="1" applyFill="1" applyBorder="1" applyAlignment="1" applyProtection="1">
      <alignment horizontal="center" vertical="center"/>
    </xf>
    <xf numFmtId="0" fontId="5" fillId="9" borderId="0" xfId="49" applyFont="1" applyFill="1" applyAlignment="1" applyProtection="1">
      <alignment horizontal="center" vertical="center"/>
    </xf>
    <xf numFmtId="0" fontId="1" fillId="10" borderId="6" xfId="49" applyFont="1" applyFill="1" applyBorder="1" applyAlignment="1" applyProtection="1">
      <alignment horizontal="center" vertical="center"/>
    </xf>
    <xf numFmtId="0" fontId="1" fillId="10" borderId="7" xfId="49" applyFont="1" applyFill="1" applyBorder="1" applyAlignment="1" applyProtection="1">
      <alignment horizontal="center" vertical="center"/>
    </xf>
    <xf numFmtId="0" fontId="1" fillId="10" borderId="8" xfId="49" applyFont="1" applyFill="1" applyBorder="1" applyAlignment="1" applyProtection="1">
      <alignment horizontal="center" vertical="center"/>
    </xf>
    <xf numFmtId="0" fontId="1" fillId="10" borderId="9" xfId="49" applyFont="1" applyFill="1" applyBorder="1" applyAlignment="1" applyProtection="1">
      <alignment horizontal="center" vertical="center"/>
    </xf>
    <xf numFmtId="0" fontId="1" fillId="0" borderId="5" xfId="0" applyFont="1" applyBorder="1" applyAlignment="1">
      <alignment horizontal="center" vertical="center" wrapText="1"/>
    </xf>
    <xf numFmtId="0" fontId="1" fillId="10" borderId="10" xfId="49" applyFont="1" applyFill="1" applyBorder="1" applyAlignment="1" applyProtection="1">
      <alignment horizontal="center" vertical="center"/>
    </xf>
    <xf numFmtId="0" fontId="1" fillId="10" borderId="11" xfId="49" applyFont="1" applyFill="1" applyBorder="1" applyAlignment="1" applyProtection="1">
      <alignment horizontal="center" vertical="center"/>
    </xf>
    <xf numFmtId="0" fontId="12" fillId="8" borderId="0" xfId="0" applyFont="1" applyFill="1" applyAlignment="1" applyProtection="1">
      <alignment horizontal="left" vertical="center"/>
      <protection hidden="1"/>
    </xf>
    <xf numFmtId="0" fontId="4" fillId="0" borderId="5" xfId="0" applyFont="1" applyBorder="1" applyAlignment="1">
      <alignment horizontal="center" vertical="center" wrapText="1"/>
    </xf>
    <xf numFmtId="0" fontId="4" fillId="0" borderId="0" xfId="0" applyFont="1" applyAlignment="1">
      <alignment horizontal="left" vertical="top" wrapText="1"/>
    </xf>
    <xf numFmtId="0" fontId="1" fillId="10" borderId="15" xfId="49" applyFont="1" applyFill="1" applyBorder="1" applyAlignment="1" applyProtection="1">
      <alignment horizontal="center" vertical="center"/>
    </xf>
    <xf numFmtId="0" fontId="1" fillId="0" borderId="5" xfId="0" applyFont="1" applyBorder="1" applyAlignment="1">
      <alignment horizontal="left" vertical="center" wrapText="1"/>
    </xf>
    <xf numFmtId="0" fontId="1" fillId="10" borderId="0" xfId="49" applyFont="1" applyFill="1" applyBorder="1" applyAlignment="1" applyProtection="1">
      <alignment horizontal="center" vertical="center"/>
    </xf>
    <xf numFmtId="0" fontId="1" fillId="10" borderId="16" xfId="49" applyFont="1" applyFill="1" applyBorder="1" applyAlignment="1" applyProtection="1">
      <alignment horizontal="center" vertical="center"/>
    </xf>
    <xf numFmtId="0" fontId="1" fillId="12" borderId="17" xfId="49" applyFont="1" applyFill="1" applyBorder="1" applyAlignment="1" applyProtection="1">
      <alignment horizontal="center" vertical="center"/>
    </xf>
    <xf numFmtId="0" fontId="5" fillId="8" borderId="0" xfId="0" applyFont="1" applyFill="1" applyAlignment="1" applyProtection="1">
      <alignment horizontal="left" vertical="center"/>
      <protection hidden="1"/>
    </xf>
    <xf numFmtId="0" fontId="0" fillId="3" borderId="0" xfId="0" applyFill="1" applyAlignment="1">
      <alignment horizontal="center" vertical="center"/>
    </xf>
    <xf numFmtId="0" fontId="1" fillId="3" borderId="0" xfId="0" applyFont="1" applyFill="1" applyAlignment="1">
      <alignment horizontal="center" vertical="center"/>
    </xf>
    <xf numFmtId="0" fontId="9" fillId="13" borderId="5" xfId="0" applyFont="1" applyFill="1" applyBorder="1" applyAlignment="1">
      <alignment horizontal="center" vertical="center"/>
    </xf>
    <xf numFmtId="0" fontId="5" fillId="13" borderId="12"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3" xfId="0" applyFont="1" applyFill="1" applyBorder="1" applyAlignment="1">
      <alignment horizontal="center" vertical="center"/>
    </xf>
    <xf numFmtId="0" fontId="5" fillId="14" borderId="5" xfId="0" applyFont="1" applyFill="1" applyBorder="1" applyAlignment="1">
      <alignment horizontal="center" vertical="center"/>
    </xf>
    <xf numFmtId="0" fontId="4" fillId="15" borderId="5" xfId="0" applyFont="1" applyFill="1" applyBorder="1" applyAlignment="1">
      <alignment horizontal="center" vertical="center" wrapText="1"/>
    </xf>
    <xf numFmtId="0" fontId="1" fillId="15" borderId="12" xfId="0" applyFont="1" applyFill="1" applyBorder="1" applyAlignment="1">
      <alignment horizontal="center" vertical="center"/>
    </xf>
    <xf numFmtId="0" fontId="1" fillId="15" borderId="14" xfId="0" applyFont="1" applyFill="1" applyBorder="1" applyAlignment="1">
      <alignment horizontal="center" vertical="center"/>
    </xf>
    <xf numFmtId="0" fontId="1" fillId="15" borderId="13" xfId="0" applyFont="1" applyFill="1" applyBorder="1" applyAlignment="1">
      <alignment horizontal="center" vertical="center"/>
    </xf>
    <xf numFmtId="0" fontId="1" fillId="15" borderId="5"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3" xfId="0" applyFont="1" applyFill="1" applyBorder="1" applyAlignment="1">
      <alignment horizontal="center" vertical="center"/>
    </xf>
    <xf numFmtId="0" fontId="4" fillId="15" borderId="5" xfId="0" applyFont="1" applyFill="1" applyBorder="1" applyAlignment="1">
      <alignment horizontal="center" vertical="center"/>
    </xf>
    <xf numFmtId="0" fontId="1" fillId="0" borderId="5" xfId="0" applyFont="1" applyFill="1" applyBorder="1" applyAlignment="1">
      <alignment horizontal="center" vertical="center" wrapText="1"/>
    </xf>
    <xf numFmtId="0" fontId="5" fillId="14" borderId="18" xfId="0" applyFont="1" applyFill="1" applyBorder="1" applyAlignment="1">
      <alignment horizontal="center" vertical="center"/>
    </xf>
    <xf numFmtId="0" fontId="1" fillId="3" borderId="5"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3"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9" fontId="1" fillId="0" borderId="5" xfId="0" applyNumberFormat="1" applyFont="1" applyFill="1" applyBorder="1" applyAlignment="1">
      <alignment horizontal="center" vertical="center"/>
    </xf>
    <xf numFmtId="0" fontId="1" fillId="13" borderId="5" xfId="0" applyFont="1" applyFill="1" applyBorder="1" applyAlignment="1">
      <alignment horizontal="center" vertical="center"/>
    </xf>
    <xf numFmtId="0" fontId="1" fillId="5" borderId="14" xfId="0" applyFont="1" applyFill="1" applyBorder="1" applyAlignment="1">
      <alignment horizontal="center" vertical="center"/>
    </xf>
    <xf numFmtId="0" fontId="7" fillId="16" borderId="18" xfId="0" applyFont="1" applyFill="1" applyBorder="1" applyAlignment="1">
      <alignment horizontal="center" vertical="center" wrapText="1"/>
    </xf>
    <xf numFmtId="0" fontId="9" fillId="0" borderId="5" xfId="0" applyFont="1" applyFill="1" applyBorder="1" applyAlignment="1">
      <alignment horizontal="center" vertical="center"/>
    </xf>
    <xf numFmtId="0" fontId="7" fillId="16" borderId="19" xfId="0" applyFont="1" applyFill="1" applyBorder="1" applyAlignment="1">
      <alignment horizontal="center" vertical="center" wrapText="1"/>
    </xf>
    <xf numFmtId="0" fontId="7" fillId="2" borderId="15"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wrapText="1"/>
    </xf>
    <xf numFmtId="0" fontId="9" fillId="16" borderId="5" xfId="0" applyFont="1" applyFill="1" applyBorder="1" applyAlignment="1">
      <alignment horizontal="center" vertical="center"/>
    </xf>
    <xf numFmtId="0" fontId="13" fillId="5" borderId="20" xfId="0" applyFont="1" applyFill="1" applyBorder="1" applyAlignment="1">
      <alignment horizontal="center" vertical="center"/>
    </xf>
    <xf numFmtId="0" fontId="7" fillId="0" borderId="5" xfId="0" applyFont="1" applyFill="1" applyBorder="1" applyAlignment="1">
      <alignment horizontal="center" vertical="center"/>
    </xf>
    <xf numFmtId="0" fontId="1" fillId="4" borderId="20" xfId="0" applyFont="1" applyFill="1" applyBorder="1" applyAlignment="1">
      <alignment horizontal="center" vertical="center"/>
    </xf>
    <xf numFmtId="0" fontId="9" fillId="16" borderId="20" xfId="0" applyFont="1" applyFill="1" applyBorder="1" applyAlignment="1">
      <alignment horizontal="center" vertical="center"/>
    </xf>
    <xf numFmtId="0" fontId="9" fillId="4" borderId="20"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Alignment="1">
      <alignment horizontal="center" vertical="center"/>
    </xf>
    <xf numFmtId="0" fontId="1" fillId="0" borderId="6"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11" xfId="0" applyFont="1" applyFill="1" applyBorder="1" applyAlignment="1">
      <alignment horizontal="center" vertical="center"/>
    </xf>
    <xf numFmtId="0" fontId="1" fillId="16" borderId="5" xfId="0" applyFont="1" applyFill="1" applyBorder="1" applyAlignment="1">
      <alignment horizontal="center" vertical="center"/>
    </xf>
    <xf numFmtId="0" fontId="9" fillId="0" borderId="5" xfId="0" applyFont="1" applyFill="1" applyBorder="1" applyAlignment="1">
      <alignment horizontal="center" vertical="center" wrapText="1"/>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5" xfId="0" applyFont="1" applyFill="1" applyBorder="1" applyAlignment="1">
      <alignment horizontal="center" vertical="center"/>
    </xf>
    <xf numFmtId="0" fontId="9" fillId="0" borderId="7"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16" xfId="0" applyFont="1" applyFill="1" applyBorder="1" applyAlignment="1">
      <alignment horizontal="center" vertical="center"/>
    </xf>
    <xf numFmtId="0" fontId="9" fillId="0" borderId="11" xfId="0" applyFont="1" applyFill="1" applyBorder="1" applyAlignment="1">
      <alignment horizontal="center" vertical="center"/>
    </xf>
    <xf numFmtId="0" fontId="1" fillId="17" borderId="12" xfId="0" applyFont="1" applyFill="1" applyBorder="1" applyAlignment="1">
      <alignment horizontal="center" vertical="center"/>
    </xf>
    <xf numFmtId="0" fontId="1" fillId="17" borderId="14" xfId="0" applyFont="1" applyFill="1" applyBorder="1" applyAlignment="1">
      <alignment horizontal="center" vertical="center"/>
    </xf>
    <xf numFmtId="0" fontId="1" fillId="17" borderId="13" xfId="0" applyFont="1" applyFill="1" applyBorder="1" applyAlignment="1">
      <alignment horizontal="center" vertical="center"/>
    </xf>
    <xf numFmtId="0" fontId="9" fillId="18" borderId="0" xfId="0" applyFont="1" applyFill="1" applyAlignment="1" applyProtection="1">
      <alignment horizontal="center" vertical="center"/>
      <protection hidden="1"/>
    </xf>
    <xf numFmtId="0" fontId="9" fillId="8" borderId="0" xfId="0" applyFont="1" applyFill="1" applyBorder="1" applyAlignment="1" applyProtection="1">
      <alignment horizontal="center" vertical="center"/>
      <protection hidden="1"/>
    </xf>
    <xf numFmtId="0" fontId="7" fillId="9" borderId="13" xfId="0" applyFont="1" applyFill="1" applyBorder="1" applyAlignment="1" applyProtection="1">
      <alignment horizontal="center" vertical="center" wrapText="1"/>
      <protection hidden="1"/>
    </xf>
    <xf numFmtId="0" fontId="9" fillId="0" borderId="5" xfId="0" applyFont="1" applyBorder="1" applyAlignment="1" applyProtection="1">
      <alignment horizontal="center" vertical="center"/>
      <protection hidden="1"/>
    </xf>
    <xf numFmtId="0" fontId="7" fillId="9" borderId="5" xfId="0" applyFont="1" applyFill="1" applyBorder="1" applyAlignment="1" applyProtection="1">
      <alignment horizontal="center" vertical="center" wrapText="1"/>
      <protection hidden="1"/>
    </xf>
    <xf numFmtId="0" fontId="9" fillId="8" borderId="5" xfId="0" applyFont="1" applyFill="1" applyBorder="1" applyAlignment="1" applyProtection="1">
      <alignment horizontal="center" vertical="center"/>
      <protection hidden="1"/>
    </xf>
    <xf numFmtId="0" fontId="7" fillId="19" borderId="5" xfId="0" applyFont="1" applyFill="1" applyBorder="1" applyAlignment="1" applyProtection="1">
      <alignment horizontal="center" vertical="center"/>
      <protection hidden="1"/>
    </xf>
    <xf numFmtId="0" fontId="7" fillId="10" borderId="5" xfId="0" applyFont="1" applyFill="1" applyBorder="1" applyAlignment="1" applyProtection="1">
      <alignment horizontal="center" vertical="center"/>
      <protection hidden="1"/>
    </xf>
    <xf numFmtId="0" fontId="9" fillId="18" borderId="5" xfId="0" applyFont="1" applyFill="1" applyBorder="1" applyAlignment="1" applyProtection="1">
      <alignment horizontal="center" vertical="center"/>
      <protection hidden="1"/>
    </xf>
    <xf numFmtId="0" fontId="7" fillId="10" borderId="17" xfId="0" applyFont="1" applyFill="1" applyBorder="1" applyAlignment="1" applyProtection="1">
      <alignment horizontal="center" vertical="center"/>
      <protection hidden="1"/>
    </xf>
    <xf numFmtId="0" fontId="1" fillId="0" borderId="17" xfId="0" applyFont="1" applyBorder="1" applyAlignment="1">
      <alignment horizontal="center" vertical="center"/>
    </xf>
    <xf numFmtId="0" fontId="9" fillId="20" borderId="5" xfId="0" applyFont="1" applyFill="1" applyBorder="1" applyAlignment="1" applyProtection="1">
      <alignment horizontal="center" vertical="center"/>
      <protection hidden="1"/>
    </xf>
    <xf numFmtId="0" fontId="1" fillId="0" borderId="5" xfId="0" applyFont="1" applyBorder="1" applyAlignment="1" applyProtection="1">
      <alignment horizontal="center" vertical="center" wrapText="1"/>
      <protection hidden="1"/>
    </xf>
    <xf numFmtId="0" fontId="9" fillId="8" borderId="7" xfId="0" applyFont="1" applyFill="1" applyBorder="1" applyAlignment="1" applyProtection="1">
      <alignment horizontal="center" vertical="center"/>
      <protection hidden="1"/>
    </xf>
    <xf numFmtId="0" fontId="9" fillId="8" borderId="18" xfId="0" applyFont="1" applyFill="1" applyBorder="1" applyAlignment="1" applyProtection="1">
      <alignment horizontal="center" vertical="center"/>
      <protection hidden="1"/>
    </xf>
    <xf numFmtId="0" fontId="9" fillId="8" borderId="12" xfId="0" applyFont="1" applyFill="1" applyBorder="1" applyAlignment="1" applyProtection="1">
      <alignment horizontal="center" vertical="center"/>
      <protection hidden="1"/>
    </xf>
    <xf numFmtId="0" fontId="7" fillId="9" borderId="6"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wrapText="1"/>
      <protection hidden="1"/>
    </xf>
    <xf numFmtId="0" fontId="7" fillId="9" borderId="7" xfId="0" applyFont="1" applyFill="1" applyBorder="1" applyAlignment="1" applyProtection="1">
      <alignment horizontal="center" vertical="center" wrapText="1"/>
      <protection hidden="1"/>
    </xf>
    <xf numFmtId="0" fontId="7" fillId="9" borderId="12" xfId="0" applyFont="1" applyFill="1" applyBorder="1" applyAlignment="1" applyProtection="1">
      <alignment horizontal="center" vertical="center" wrapText="1"/>
      <protection hidden="1"/>
    </xf>
    <xf numFmtId="0" fontId="7" fillId="9" borderId="14" xfId="0" applyFont="1" applyFill="1" applyBorder="1" applyAlignment="1" applyProtection="1">
      <alignment horizontal="center" vertical="center" wrapText="1"/>
      <protection hidden="1"/>
    </xf>
    <xf numFmtId="0" fontId="7" fillId="9" borderId="18" xfId="0" applyFont="1" applyFill="1" applyBorder="1" applyAlignment="1" applyProtection="1">
      <alignment horizontal="center" vertical="center" wrapText="1"/>
      <protection hidden="1"/>
    </xf>
    <xf numFmtId="0" fontId="1" fillId="0" borderId="0" xfId="0" applyFont="1" applyBorder="1" applyAlignment="1">
      <alignment horizontal="center" vertical="center" wrapText="1"/>
    </xf>
    <xf numFmtId="0" fontId="9" fillId="0" borderId="10" xfId="0" applyFont="1" applyFill="1" applyBorder="1" applyAlignment="1" applyProtection="1">
      <alignment horizontal="center" vertical="center"/>
      <protection hidden="1"/>
    </xf>
    <xf numFmtId="0" fontId="9" fillId="0" borderId="16" xfId="0" applyFont="1" applyFill="1" applyBorder="1" applyAlignment="1" applyProtection="1">
      <alignment horizontal="center" vertical="center"/>
      <protection hidden="1"/>
    </xf>
    <xf numFmtId="0" fontId="9" fillId="0" borderId="11" xfId="0" applyFont="1" applyFill="1" applyBorder="1" applyAlignment="1" applyProtection="1">
      <alignment horizontal="center" vertical="center"/>
      <protection hidden="1"/>
    </xf>
    <xf numFmtId="0" fontId="9" fillId="0" borderId="12" xfId="0" applyFont="1" applyFill="1" applyBorder="1" applyAlignment="1" applyProtection="1">
      <alignment horizontal="center" vertical="center"/>
      <protection hidden="1"/>
    </xf>
    <xf numFmtId="0" fontId="9" fillId="0" borderId="17" xfId="0" applyFont="1" applyFill="1" applyBorder="1" applyAlignment="1" applyProtection="1">
      <alignment horizontal="center" vertical="center"/>
      <protection hidden="1"/>
    </xf>
    <xf numFmtId="0" fontId="9" fillId="0" borderId="13" xfId="0" applyFont="1" applyFill="1" applyBorder="1" applyAlignment="1" applyProtection="1">
      <alignment horizontal="center" vertical="center"/>
      <protection hidden="1"/>
    </xf>
    <xf numFmtId="0" fontId="7" fillId="9" borderId="17" xfId="0" applyFont="1" applyFill="1" applyBorder="1" applyAlignment="1" applyProtection="1">
      <alignment horizontal="center" vertical="center" wrapText="1"/>
      <protection hidden="1"/>
    </xf>
    <xf numFmtId="0" fontId="9" fillId="8" borderId="11" xfId="0" applyFont="1" applyFill="1" applyBorder="1" applyAlignment="1" applyProtection="1">
      <alignment horizontal="center" vertical="center"/>
      <protection hidden="1"/>
    </xf>
    <xf numFmtId="0" fontId="9" fillId="8" borderId="17" xfId="0" applyFont="1" applyFill="1" applyBorder="1" applyAlignment="1" applyProtection="1">
      <alignment horizontal="center" vertical="center"/>
      <protection hidden="1"/>
    </xf>
    <xf numFmtId="0" fontId="9" fillId="8" borderId="19" xfId="0" applyFont="1" applyFill="1" applyBorder="1" applyAlignment="1" applyProtection="1">
      <alignment horizontal="center" vertical="center"/>
      <protection hidden="1"/>
    </xf>
    <xf numFmtId="0" fontId="9" fillId="8" borderId="6" xfId="0" applyFont="1" applyFill="1" applyBorder="1" applyAlignment="1" applyProtection="1">
      <alignment horizontal="center" vertical="center"/>
      <protection hidden="1"/>
    </xf>
    <xf numFmtId="0" fontId="9" fillId="0" borderId="12" xfId="0"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9" fillId="0" borderId="14" xfId="0" applyFont="1" applyFill="1" applyBorder="1" applyAlignment="1" applyProtection="1">
      <alignment horizontal="center" vertical="center"/>
      <protection hidden="1"/>
    </xf>
    <xf numFmtId="0" fontId="9" fillId="20" borderId="6" xfId="0" applyFont="1" applyFill="1" applyBorder="1" applyAlignment="1" applyProtection="1">
      <alignment horizontal="center" vertical="center" wrapText="1"/>
      <protection hidden="1"/>
    </xf>
    <xf numFmtId="0" fontId="9" fillId="20" borderId="7" xfId="0" applyFont="1" applyFill="1" applyBorder="1" applyAlignment="1" applyProtection="1">
      <alignment horizontal="center" vertical="center"/>
      <protection hidden="1"/>
    </xf>
    <xf numFmtId="0" fontId="1" fillId="0" borderId="0" xfId="0" applyFont="1" applyAlignment="1">
      <alignment horizontal="center" vertical="center" wrapText="1"/>
    </xf>
    <xf numFmtId="0" fontId="9" fillId="20" borderId="10" xfId="0" applyFont="1" applyFill="1" applyBorder="1" applyAlignment="1" applyProtection="1">
      <alignment horizontal="center" vertical="center"/>
      <protection hidden="1"/>
    </xf>
    <xf numFmtId="0" fontId="9" fillId="20" borderId="11" xfId="0" applyFont="1" applyFill="1" applyBorder="1" applyAlignment="1" applyProtection="1">
      <alignment horizontal="center" vertical="center"/>
      <protection hidden="1"/>
    </xf>
    <xf numFmtId="0" fontId="9" fillId="8" borderId="13" xfId="0" applyFont="1" applyFill="1" applyBorder="1" applyAlignment="1" applyProtection="1">
      <alignment horizontal="center" vertical="center"/>
      <protection hidden="1"/>
    </xf>
    <xf numFmtId="0" fontId="9" fillId="8" borderId="0" xfId="0" applyFont="1" applyFill="1" applyAlignment="1" applyProtection="1">
      <alignment horizontal="center" vertical="center" wrapText="1"/>
      <protection hidden="1"/>
    </xf>
    <xf numFmtId="0" fontId="14" fillId="8" borderId="14" xfId="0" applyFont="1" applyFill="1" applyBorder="1" applyAlignment="1" applyProtection="1">
      <alignment horizontal="center" vertical="center" wrapText="1"/>
      <protection hidden="1"/>
    </xf>
    <xf numFmtId="0" fontId="7" fillId="8" borderId="5" xfId="0" applyFont="1" applyFill="1" applyBorder="1" applyAlignment="1" applyProtection="1">
      <alignment horizontal="center" vertical="center"/>
      <protection hidden="1"/>
    </xf>
    <xf numFmtId="0" fontId="7" fillId="19" borderId="13" xfId="0" applyFont="1" applyFill="1" applyBorder="1" applyAlignment="1" applyProtection="1">
      <alignment horizontal="center" vertical="center"/>
      <protection hidden="1"/>
    </xf>
    <xf numFmtId="0" fontId="9" fillId="18" borderId="14" xfId="0" applyFont="1" applyFill="1" applyBorder="1" applyAlignment="1" applyProtection="1">
      <alignment horizontal="center" vertical="center"/>
      <protection hidden="1"/>
    </xf>
    <xf numFmtId="0" fontId="13" fillId="10" borderId="5" xfId="0" applyFont="1" applyFill="1" applyBorder="1" applyAlignment="1" applyProtection="1">
      <alignment horizontal="center" vertical="center"/>
      <protection hidden="1"/>
    </xf>
    <xf numFmtId="0" fontId="7" fillId="0" borderId="5" xfId="0" applyFont="1" applyBorder="1" applyAlignment="1" applyProtection="1">
      <alignment horizontal="center" vertical="center"/>
      <protection hidden="1"/>
    </xf>
    <xf numFmtId="0" fontId="1" fillId="12" borderId="5" xfId="0" applyFont="1" applyFill="1" applyBorder="1" applyAlignment="1" applyProtection="1">
      <alignment horizontal="center" vertical="center"/>
      <protection hidden="1"/>
    </xf>
    <xf numFmtId="0" fontId="14" fillId="0" borderId="5" xfId="0" applyFont="1" applyBorder="1" applyAlignment="1" applyProtection="1">
      <alignment horizontal="center" vertical="center"/>
      <protection hidden="1"/>
    </xf>
    <xf numFmtId="0" fontId="1" fillId="20" borderId="5" xfId="0" applyFont="1" applyFill="1" applyBorder="1" applyAlignment="1" applyProtection="1">
      <alignment horizontal="center" vertical="center"/>
      <protection hidden="1"/>
    </xf>
    <xf numFmtId="0" fontId="7" fillId="0" borderId="16" xfId="0" applyFont="1" applyBorder="1" applyAlignment="1" applyProtection="1">
      <alignment horizontal="center" vertical="center"/>
      <protection hidden="1"/>
    </xf>
    <xf numFmtId="0" fontId="14" fillId="18" borderId="5" xfId="0" applyFont="1" applyFill="1" applyBorder="1" applyAlignment="1" applyProtection="1">
      <alignment horizontal="center" vertical="center"/>
      <protection hidden="1"/>
    </xf>
    <xf numFmtId="0" fontId="7" fillId="8" borderId="14" xfId="0" applyFont="1" applyFill="1" applyBorder="1" applyAlignment="1" applyProtection="1">
      <alignment horizontal="center" vertical="center" wrapText="1"/>
      <protection hidden="1"/>
    </xf>
    <xf numFmtId="0" fontId="9" fillId="20" borderId="13" xfId="0" applyFont="1" applyFill="1" applyBorder="1" applyAlignment="1" applyProtection="1">
      <alignment horizontal="center" vertical="center" wrapText="1"/>
      <protection hidden="1"/>
    </xf>
    <xf numFmtId="0" fontId="9" fillId="12" borderId="5" xfId="0" applyFont="1" applyFill="1" applyBorder="1" applyAlignment="1" applyProtection="1">
      <alignment horizontal="center" vertical="center"/>
      <protection hidden="1"/>
    </xf>
    <xf numFmtId="0" fontId="1" fillId="0" borderId="5" xfId="0" applyFont="1" applyBorder="1" applyAlignment="1" applyProtection="1">
      <alignment horizontal="center" vertical="center"/>
      <protection hidden="1"/>
    </xf>
    <xf numFmtId="0" fontId="14" fillId="12" borderId="5" xfId="0" applyFont="1" applyFill="1" applyBorder="1" applyAlignment="1" applyProtection="1">
      <alignment horizontal="center" vertical="center"/>
      <protection hidden="1"/>
    </xf>
    <xf numFmtId="0" fontId="9" fillId="20" borderId="5" xfId="0" applyFont="1" applyFill="1" applyBorder="1" applyAlignment="1" applyProtection="1">
      <alignment horizontal="center" vertical="center" wrapText="1"/>
      <protection hidden="1"/>
    </xf>
    <xf numFmtId="0" fontId="3" fillId="20" borderId="5" xfId="0" applyFont="1" applyFill="1" applyBorder="1" applyAlignment="1" applyProtection="1">
      <alignment horizontal="center" vertical="center"/>
      <protection hidden="1"/>
    </xf>
    <xf numFmtId="0" fontId="9" fillId="12" borderId="5" xfId="0" applyFont="1" applyFill="1" applyBorder="1" applyAlignment="1" applyProtection="1">
      <alignment vertical="center"/>
      <protection hidden="1"/>
    </xf>
    <xf numFmtId="0" fontId="9" fillId="12" borderId="12" xfId="0" applyFont="1" applyFill="1" applyBorder="1" applyAlignment="1" applyProtection="1">
      <alignment horizontal="center" vertical="center"/>
      <protection hidden="1"/>
    </xf>
    <xf numFmtId="0" fontId="9" fillId="12" borderId="5" xfId="0" applyFont="1" applyFill="1" applyBorder="1" applyAlignment="1" applyProtection="1">
      <alignment horizontal="center" vertical="center" wrapText="1"/>
      <protection hidden="1"/>
    </xf>
    <xf numFmtId="0" fontId="9" fillId="20" borderId="13" xfId="0" applyFont="1" applyFill="1" applyBorder="1" applyAlignment="1" applyProtection="1">
      <alignment horizontal="center" vertical="center"/>
      <protection hidden="1"/>
    </xf>
    <xf numFmtId="0" fontId="14" fillId="12" borderId="12" xfId="0" applyFont="1" applyFill="1" applyBorder="1" applyAlignment="1" applyProtection="1">
      <alignment horizontal="center" vertical="center" wrapText="1"/>
      <protection hidden="1"/>
    </xf>
    <xf numFmtId="0" fontId="7" fillId="10" borderId="12" xfId="0" applyFont="1" applyFill="1" applyBorder="1" applyAlignment="1" applyProtection="1">
      <alignment horizontal="center" vertical="center"/>
      <protection hidden="1"/>
    </xf>
    <xf numFmtId="0" fontId="9" fillId="12" borderId="12" xfId="0" applyFont="1" applyFill="1" applyBorder="1" applyAlignment="1" applyProtection="1">
      <alignment horizontal="center" vertical="center" wrapText="1"/>
      <protection hidden="1"/>
    </xf>
    <xf numFmtId="0" fontId="9" fillId="20" borderId="18" xfId="0" applyFont="1" applyFill="1" applyBorder="1" applyAlignment="1" applyProtection="1">
      <alignment horizontal="center" vertical="center" wrapText="1"/>
      <protection hidden="1"/>
    </xf>
    <xf numFmtId="3" fontId="15" fillId="0" borderId="5" xfId="0" applyNumberFormat="1" applyFont="1" applyFill="1" applyBorder="1" applyAlignment="1">
      <alignment horizontal="center" vertical="center"/>
    </xf>
    <xf numFmtId="3" fontId="15" fillId="0" borderId="12" xfId="0" applyNumberFormat="1" applyFont="1" applyFill="1" applyBorder="1" applyAlignment="1">
      <alignment horizontal="center" vertical="center"/>
    </xf>
    <xf numFmtId="0" fontId="1" fillId="3" borderId="12" xfId="0" applyFont="1" applyFill="1" applyBorder="1" applyAlignment="1">
      <alignment horizontal="right" vertical="center"/>
    </xf>
    <xf numFmtId="0" fontId="1" fillId="3" borderId="14" xfId="0" applyFont="1" applyFill="1" applyBorder="1" applyAlignment="1">
      <alignment horizontal="right" vertical="center"/>
    </xf>
    <xf numFmtId="0" fontId="1" fillId="3" borderId="14" xfId="0" applyFont="1" applyFill="1" applyBorder="1" applyAlignment="1">
      <alignment horizontal="left" vertical="center"/>
    </xf>
    <xf numFmtId="0" fontId="1" fillId="3" borderId="13" xfId="0" applyFont="1" applyFill="1" applyBorder="1" applyAlignment="1">
      <alignment horizontal="left" vertical="center"/>
    </xf>
    <xf numFmtId="0" fontId="1" fillId="20" borderId="13" xfId="0" applyFont="1" applyFill="1" applyBorder="1" applyAlignment="1" applyProtection="1">
      <alignment horizontal="center" vertical="center"/>
      <protection hidden="1"/>
    </xf>
    <xf numFmtId="0" fontId="7" fillId="9" borderId="5" xfId="0" applyFont="1" applyFill="1" applyBorder="1" applyAlignment="1" applyProtection="1">
      <alignment horizontal="center" vertical="center"/>
      <protection hidden="1"/>
    </xf>
    <xf numFmtId="0" fontId="1" fillId="12" borderId="13" xfId="0" applyFont="1" applyFill="1" applyBorder="1" applyAlignment="1" applyProtection="1">
      <alignment horizontal="center" vertical="center"/>
      <protection hidden="1"/>
    </xf>
    <xf numFmtId="0" fontId="16" fillId="0" borderId="5" xfId="0" applyFont="1" applyBorder="1" applyAlignment="1" applyProtection="1">
      <alignment horizontal="center" vertical="center"/>
      <protection hidden="1"/>
    </xf>
    <xf numFmtId="177" fontId="1" fillId="12" borderId="5" xfId="0" applyNumberFormat="1" applyFont="1" applyFill="1" applyBorder="1" applyAlignment="1" applyProtection="1">
      <alignment horizontal="center" vertical="center"/>
      <protection hidden="1"/>
    </xf>
    <xf numFmtId="0" fontId="9" fillId="12" borderId="13" xfId="0" applyFont="1" applyFill="1" applyBorder="1" applyAlignment="1" applyProtection="1">
      <alignment horizontal="center" vertical="center"/>
      <protection hidden="1"/>
    </xf>
    <xf numFmtId="0" fontId="9" fillId="18" borderId="0" xfId="0" applyFont="1" applyFill="1" applyAlignment="1" applyProtection="1">
      <alignment horizontal="center" vertical="center"/>
      <protection locked="0" hidden="1"/>
    </xf>
    <xf numFmtId="0" fontId="7" fillId="9" borderId="10" xfId="0" applyFont="1" applyFill="1" applyBorder="1" applyAlignment="1" applyProtection="1">
      <alignment horizontal="center" vertical="center" wrapText="1"/>
      <protection hidden="1"/>
    </xf>
    <xf numFmtId="0" fontId="9" fillId="18" borderId="12" xfId="0" applyFont="1" applyFill="1" applyBorder="1" applyAlignment="1" applyProtection="1">
      <alignment horizontal="center" vertical="center" wrapText="1"/>
      <protection hidden="1"/>
    </xf>
    <xf numFmtId="0" fontId="0" fillId="3" borderId="0" xfId="0" applyFill="1">
      <alignment vertical="center"/>
    </xf>
    <xf numFmtId="0" fontId="7" fillId="8" borderId="0" xfId="0" applyFont="1" applyFill="1" applyAlignment="1" applyProtection="1">
      <alignment horizontal="center" vertical="center"/>
      <protection hidden="1"/>
    </xf>
    <xf numFmtId="0" fontId="7" fillId="2" borderId="21" xfId="0" applyFont="1" applyFill="1" applyBorder="1" applyAlignment="1" applyProtection="1">
      <alignment horizontal="center" vertical="center" wrapText="1"/>
      <protection hidden="1"/>
    </xf>
    <xf numFmtId="0" fontId="7" fillId="2" borderId="22" xfId="0" applyFont="1" applyFill="1" applyBorder="1" applyAlignment="1" applyProtection="1">
      <alignment horizontal="center" vertical="center" wrapText="1"/>
      <protection hidden="1"/>
    </xf>
    <xf numFmtId="0" fontId="9" fillId="8" borderId="20" xfId="0" applyFont="1" applyFill="1" applyBorder="1" applyAlignment="1" applyProtection="1">
      <alignment horizontal="center" vertical="center"/>
      <protection hidden="1"/>
    </xf>
    <xf numFmtId="0" fontId="9" fillId="20" borderId="23" xfId="0" applyFont="1" applyFill="1" applyBorder="1" applyAlignment="1" applyProtection="1">
      <alignment horizontal="center" vertical="center" wrapText="1"/>
      <protection hidden="1"/>
    </xf>
    <xf numFmtId="0" fontId="9" fillId="20" borderId="12" xfId="0" applyFont="1" applyFill="1" applyBorder="1" applyAlignment="1" applyProtection="1">
      <alignment horizontal="center" vertical="center" wrapText="1"/>
      <protection hidden="1"/>
    </xf>
    <xf numFmtId="0" fontId="9" fillId="20" borderId="13" xfId="0" applyFont="1" applyFill="1" applyBorder="1" applyAlignment="1" applyProtection="1">
      <alignment vertical="center" wrapText="1"/>
      <protection hidden="1"/>
    </xf>
    <xf numFmtId="0" fontId="9" fillId="4" borderId="24" xfId="0" applyFont="1" applyFill="1" applyBorder="1" applyAlignment="1" applyProtection="1">
      <alignment horizontal="center" vertical="center" wrapText="1"/>
      <protection hidden="1"/>
    </xf>
    <xf numFmtId="0" fontId="9" fillId="18" borderId="24" xfId="0" applyFont="1" applyFill="1" applyBorder="1" applyAlignment="1" applyProtection="1">
      <alignment horizontal="center" vertical="center"/>
      <protection hidden="1"/>
    </xf>
    <xf numFmtId="0" fontId="9" fillId="18" borderId="16" xfId="0" applyFont="1" applyFill="1" applyBorder="1" applyAlignment="1" applyProtection="1">
      <alignment horizontal="center" vertical="center" wrapText="1"/>
      <protection hidden="1"/>
    </xf>
    <xf numFmtId="0" fontId="9" fillId="18" borderId="11" xfId="0" applyFont="1" applyFill="1" applyBorder="1" applyAlignment="1" applyProtection="1">
      <alignment horizontal="center" vertical="center" wrapText="1"/>
      <protection hidden="1"/>
    </xf>
    <xf numFmtId="0" fontId="9" fillId="18" borderId="10" xfId="0" applyFont="1" applyFill="1" applyBorder="1" applyAlignment="1" applyProtection="1">
      <alignment horizontal="center" vertical="center" wrapText="1"/>
      <protection hidden="1"/>
    </xf>
    <xf numFmtId="0" fontId="9" fillId="18" borderId="10" xfId="0" applyFont="1" applyFill="1" applyBorder="1" applyAlignment="1" applyProtection="1">
      <alignment horizontal="center" vertical="center"/>
      <protection hidden="1"/>
    </xf>
    <xf numFmtId="0" fontId="9" fillId="18" borderId="16" xfId="0" applyFont="1" applyFill="1" applyBorder="1" applyAlignment="1" applyProtection="1">
      <alignment horizontal="center" vertical="center"/>
      <protection hidden="1"/>
    </xf>
    <xf numFmtId="0" fontId="9" fillId="18" borderId="11" xfId="0" applyFont="1" applyFill="1" applyBorder="1" applyAlignment="1" applyProtection="1">
      <alignment horizontal="center" vertical="center"/>
      <protection hidden="1"/>
    </xf>
    <xf numFmtId="0" fontId="9" fillId="18" borderId="5" xfId="0" applyFont="1" applyFill="1" applyBorder="1" applyAlignment="1" applyProtection="1">
      <alignment horizontal="center" vertical="center" wrapText="1"/>
      <protection hidden="1"/>
    </xf>
    <xf numFmtId="0" fontId="9" fillId="4" borderId="25" xfId="0" applyFont="1" applyFill="1" applyBorder="1" applyAlignment="1" applyProtection="1">
      <alignment horizontal="center" vertical="center" wrapText="1"/>
      <protection hidden="1"/>
    </xf>
    <xf numFmtId="0" fontId="9" fillId="18" borderId="25" xfId="0" applyFont="1" applyFill="1" applyBorder="1" applyAlignment="1" applyProtection="1">
      <alignment horizontal="center" vertical="center"/>
      <protection hidden="1"/>
    </xf>
    <xf numFmtId="0" fontId="9" fillId="21" borderId="20" xfId="0" applyFont="1" applyFill="1" applyBorder="1" applyAlignment="1" applyProtection="1">
      <alignment horizontal="center" vertical="center"/>
      <protection hidden="1"/>
    </xf>
    <xf numFmtId="0" fontId="9" fillId="21" borderId="18" xfId="0" applyFont="1" applyFill="1" applyBorder="1" applyAlignment="1" applyProtection="1">
      <alignment horizontal="center" vertical="center"/>
      <protection hidden="1"/>
    </xf>
    <xf numFmtId="0" fontId="9" fillId="21" borderId="5" xfId="0" applyFont="1" applyFill="1" applyBorder="1" applyAlignment="1" applyProtection="1">
      <alignment horizontal="center" vertical="center"/>
      <protection hidden="1"/>
    </xf>
    <xf numFmtId="0" fontId="9" fillId="22" borderId="0" xfId="0" applyFont="1" applyFill="1" applyAlignment="1" applyProtection="1">
      <alignment horizontal="center" vertical="center"/>
      <protection hidden="1"/>
    </xf>
    <xf numFmtId="0" fontId="7" fillId="9" borderId="26" xfId="0" applyFont="1" applyFill="1" applyBorder="1" applyAlignment="1" applyProtection="1">
      <alignment horizontal="center" vertical="center" wrapText="1"/>
      <protection hidden="1"/>
    </xf>
    <xf numFmtId="0" fontId="1" fillId="20" borderId="13" xfId="0" applyFont="1" applyFill="1" applyBorder="1" applyAlignment="1" applyProtection="1">
      <alignment horizontal="center" vertical="center" wrapText="1"/>
      <protection hidden="1"/>
    </xf>
    <xf numFmtId="0" fontId="1" fillId="20" borderId="5" xfId="0" applyFont="1" applyFill="1" applyBorder="1" applyAlignment="1" applyProtection="1">
      <alignment horizontal="center" vertical="center" wrapText="1"/>
      <protection hidden="1"/>
    </xf>
    <xf numFmtId="0" fontId="1" fillId="20" borderId="12" xfId="0" applyFont="1" applyFill="1" applyBorder="1" applyAlignment="1" applyProtection="1">
      <alignment horizontal="center" vertical="center"/>
      <protection hidden="1"/>
    </xf>
    <xf numFmtId="0" fontId="1" fillId="23" borderId="27" xfId="0" applyFont="1" applyFill="1" applyBorder="1" applyAlignment="1" applyProtection="1">
      <alignment horizontal="center" vertical="center"/>
      <protection hidden="1"/>
    </xf>
    <xf numFmtId="0" fontId="1" fillId="23" borderId="28" xfId="0" applyFont="1" applyFill="1" applyBorder="1" applyAlignment="1" applyProtection="1">
      <alignment horizontal="center" vertical="center"/>
      <protection hidden="1"/>
    </xf>
    <xf numFmtId="0" fontId="1" fillId="23" borderId="29" xfId="0" applyFont="1" applyFill="1" applyBorder="1" applyAlignment="1" applyProtection="1">
      <alignment horizontal="center" vertical="center"/>
      <protection hidden="1"/>
    </xf>
    <xf numFmtId="0" fontId="1" fillId="24" borderId="13" xfId="0" applyFont="1" applyFill="1" applyBorder="1" applyAlignment="1">
      <alignment horizontal="center" vertical="center"/>
    </xf>
    <xf numFmtId="0" fontId="1" fillId="24" borderId="5" xfId="0" applyFont="1" applyFill="1" applyBorder="1" applyAlignment="1">
      <alignment horizontal="center" vertical="center"/>
    </xf>
    <xf numFmtId="177" fontId="1" fillId="20" borderId="5" xfId="0" applyNumberFormat="1" applyFont="1" applyFill="1" applyBorder="1" applyAlignment="1" applyProtection="1">
      <alignment horizontal="center" vertical="center"/>
      <protection hidden="1"/>
    </xf>
    <xf numFmtId="0" fontId="1" fillId="0" borderId="12" xfId="0" applyFont="1" applyBorder="1" applyAlignment="1" applyProtection="1">
      <alignment horizontal="center" vertical="center"/>
      <protection hidden="1"/>
    </xf>
    <xf numFmtId="0" fontId="9" fillId="25" borderId="30" xfId="0" applyFont="1" applyFill="1" applyBorder="1" applyAlignment="1" applyProtection="1">
      <alignment horizontal="center" vertical="center"/>
      <protection hidden="1"/>
    </xf>
    <xf numFmtId="0" fontId="9" fillId="25" borderId="31" xfId="0" applyFont="1" applyFill="1" applyBorder="1" applyAlignment="1" applyProtection="1">
      <alignment horizontal="center" vertical="center"/>
      <protection hidden="1"/>
    </xf>
    <xf numFmtId="0" fontId="9" fillId="25" borderId="32" xfId="0" applyFont="1" applyFill="1" applyBorder="1" applyAlignment="1" applyProtection="1">
      <alignment horizontal="center" vertical="center"/>
      <protection hidden="1"/>
    </xf>
    <xf numFmtId="0" fontId="9" fillId="25" borderId="33" xfId="0" applyFont="1" applyFill="1" applyBorder="1" applyAlignment="1" applyProtection="1">
      <alignment horizontal="center" vertical="center"/>
      <protection hidden="1"/>
    </xf>
    <xf numFmtId="0" fontId="9" fillId="25" borderId="34" xfId="0" applyFont="1" applyFill="1" applyBorder="1" applyAlignment="1" applyProtection="1">
      <alignment horizontal="center" vertical="center"/>
      <protection hidden="1"/>
    </xf>
    <xf numFmtId="0" fontId="9" fillId="25" borderId="35" xfId="0" applyFont="1" applyFill="1" applyBorder="1" applyAlignment="1" applyProtection="1">
      <alignment horizontal="center" vertical="center"/>
      <protection hidden="1"/>
    </xf>
    <xf numFmtId="0" fontId="9" fillId="25" borderId="36" xfId="0" applyFont="1" applyFill="1" applyBorder="1" applyAlignment="1" applyProtection="1">
      <alignment horizontal="center" vertical="center"/>
      <protection hidden="1"/>
    </xf>
    <xf numFmtId="0" fontId="9" fillId="25" borderId="0" xfId="0" applyFont="1" applyFill="1" applyAlignment="1" applyProtection="1">
      <alignment horizontal="center" vertical="center"/>
      <protection hidden="1"/>
    </xf>
    <xf numFmtId="0" fontId="9" fillId="25" borderId="37" xfId="0" applyFont="1" applyFill="1" applyBorder="1" applyAlignment="1" applyProtection="1">
      <alignment horizontal="center" vertical="center"/>
      <protection hidden="1"/>
    </xf>
    <xf numFmtId="0" fontId="9" fillId="26" borderId="26" xfId="0" applyFont="1" applyFill="1" applyBorder="1" applyAlignment="1" applyProtection="1">
      <alignment horizontal="center" vertical="center"/>
      <protection hidden="1"/>
    </xf>
    <xf numFmtId="0" fontId="7" fillId="8" borderId="12" xfId="0" applyFont="1" applyFill="1" applyBorder="1" applyAlignment="1" applyProtection="1">
      <alignment horizontal="center" vertical="center"/>
      <protection hidden="1"/>
    </xf>
    <xf numFmtId="0" fontId="7" fillId="9" borderId="0" xfId="0" applyFont="1" applyFill="1" applyBorder="1" applyAlignment="1" applyProtection="1">
      <alignment horizontal="center" vertical="center"/>
      <protection hidden="1"/>
    </xf>
    <xf numFmtId="0" fontId="1" fillId="20" borderId="21" xfId="0" applyFont="1" applyFill="1" applyBorder="1" applyAlignment="1" applyProtection="1">
      <alignment horizontal="center" vertical="center" wrapText="1"/>
      <protection hidden="1"/>
    </xf>
    <xf numFmtId="0" fontId="1" fillId="20" borderId="22" xfId="0" applyFont="1" applyFill="1" applyBorder="1" applyAlignment="1" applyProtection="1">
      <alignment horizontal="center" vertical="center" wrapText="1"/>
      <protection hidden="1"/>
    </xf>
    <xf numFmtId="0" fontId="1" fillId="20" borderId="38" xfId="0" applyFont="1" applyFill="1" applyBorder="1" applyAlignment="1" applyProtection="1">
      <alignment horizontal="center" vertical="center" wrapText="1"/>
      <protection hidden="1"/>
    </xf>
    <xf numFmtId="0" fontId="9" fillId="20" borderId="20" xfId="0" applyFont="1" applyFill="1" applyBorder="1" applyAlignment="1" applyProtection="1">
      <alignment horizontal="center" vertical="center"/>
      <protection hidden="1"/>
    </xf>
    <xf numFmtId="0" fontId="9" fillId="20" borderId="21" xfId="0" applyFont="1" applyFill="1" applyBorder="1" applyAlignment="1" applyProtection="1">
      <alignment horizontal="center" vertical="center"/>
      <protection hidden="1"/>
    </xf>
    <xf numFmtId="0" fontId="9" fillId="20" borderId="22" xfId="0" applyFont="1" applyFill="1" applyBorder="1" applyAlignment="1" applyProtection="1">
      <alignment horizontal="center" vertical="center"/>
      <protection hidden="1"/>
    </xf>
    <xf numFmtId="0" fontId="9" fillId="20" borderId="38" xfId="0" applyFont="1" applyFill="1" applyBorder="1" applyAlignment="1" applyProtection="1">
      <alignment horizontal="center" vertical="center"/>
      <protection hidden="1"/>
    </xf>
    <xf numFmtId="0" fontId="9" fillId="12" borderId="23" xfId="0" applyFont="1" applyFill="1" applyBorder="1" applyAlignment="1" applyProtection="1">
      <alignment horizontal="center" vertical="center" wrapText="1"/>
      <protection hidden="1"/>
    </xf>
    <xf numFmtId="0" fontId="9" fillId="27" borderId="5" xfId="0" applyFont="1" applyFill="1" applyBorder="1" applyAlignment="1" applyProtection="1">
      <alignment horizontal="center" vertical="center" wrapText="1"/>
      <protection hidden="1"/>
    </xf>
    <xf numFmtId="0" fontId="9" fillId="27" borderId="5" xfId="0" applyFont="1" applyFill="1" applyBorder="1" applyAlignment="1" applyProtection="1">
      <alignment horizontal="left" vertical="center" wrapText="1"/>
      <protection hidden="1"/>
    </xf>
    <xf numFmtId="0" fontId="7" fillId="9" borderId="16" xfId="0" applyFont="1" applyFill="1" applyBorder="1" applyAlignment="1" applyProtection="1">
      <alignment horizontal="center" vertical="center"/>
      <protection hidden="1"/>
    </xf>
    <xf numFmtId="0" fontId="7" fillId="13" borderId="16" xfId="0" applyFont="1" applyFill="1" applyBorder="1" applyAlignment="1" applyProtection="1">
      <alignment horizontal="center" vertical="center"/>
      <protection hidden="1"/>
    </xf>
    <xf numFmtId="0" fontId="1" fillId="20" borderId="14" xfId="0" applyFont="1" applyFill="1" applyBorder="1" applyAlignment="1" applyProtection="1">
      <alignment horizontal="center" vertical="center" wrapText="1"/>
      <protection hidden="1"/>
    </xf>
    <xf numFmtId="0" fontId="9" fillId="0" borderId="12" xfId="0" applyFont="1" applyBorder="1" applyAlignment="1" applyProtection="1">
      <alignment horizontal="center" vertical="center" wrapText="1"/>
      <protection hidden="1"/>
    </xf>
    <xf numFmtId="0" fontId="9" fillId="20" borderId="15" xfId="0" applyFont="1" applyFill="1" applyBorder="1" applyAlignment="1" applyProtection="1">
      <alignment horizontal="center" vertical="center" wrapText="1"/>
      <protection hidden="1"/>
    </xf>
    <xf numFmtId="0" fontId="9" fillId="20" borderId="14"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protection hidden="1"/>
    </xf>
    <xf numFmtId="0" fontId="9" fillId="18" borderId="0" xfId="0" applyFont="1" applyFill="1" applyBorder="1" applyAlignment="1" applyProtection="1">
      <alignment horizontal="left" vertical="top" wrapText="1"/>
      <protection hidden="1"/>
    </xf>
    <xf numFmtId="0" fontId="9" fillId="8" borderId="39" xfId="0" applyFont="1" applyFill="1" applyBorder="1" applyAlignment="1" applyProtection="1">
      <alignment horizontal="center" vertical="center"/>
      <protection hidden="1"/>
    </xf>
    <xf numFmtId="0" fontId="9" fillId="8" borderId="16" xfId="0" applyFont="1" applyFill="1" applyBorder="1" applyAlignment="1" applyProtection="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44546A"/>
      <color rgb="008497B0"/>
      <color rgb="00D6DCE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atin typeface="黑体" panose="02010609060101010101" charset="-122"/>
            <a:ea typeface="黑体" panose="02010609060101010101" charset="-122"/>
          </a:endParaRPr>
        </a:p>
      </xdr:txBody>
    </xdr:sp>
    <xdr:clientData/>
  </xdr:twoCellAnchor>
</xdr:wsDr>
</file>

<file path=xl/tables/table1.xml><?xml version="1.0" encoding="utf-8"?>
<table xmlns="http://schemas.openxmlformats.org/spreadsheetml/2006/main" id="4" name="灵能表" displayName="灵能表" ref="B2:I137" totalsRowShown="0">
  <autoFilter xmlns:etc="http://www.wps.cn/officeDocument/2017/etCustomData" ref="B2:I137"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9"/>
  <sheetViews>
    <sheetView tabSelected="1" zoomScale="70" zoomScaleNormal="70" workbookViewId="0">
      <selection activeCell="I17" sqref="I17"/>
    </sheetView>
  </sheetViews>
  <sheetFormatPr defaultColWidth="5.16666666666667" defaultRowHeight="20" customHeight="1"/>
  <cols>
    <col min="1" max="1" width="2.40833333333333" style="145" customWidth="1"/>
    <col min="2" max="18" width="5.15" style="145" customWidth="1"/>
    <col min="19" max="19" width="2.38333333333333" style="145" customWidth="1"/>
    <col min="20" max="27" width="5.15" style="145" customWidth="1"/>
    <col min="28" max="28" width="2.40833333333333" style="145" customWidth="1"/>
    <col min="29" max="29" width="7.25" style="145" customWidth="1"/>
    <col min="30" max="16384" width="5.15833333333333" style="145"/>
  </cols>
  <sheetData>
    <row r="1" customHeight="1" spans="1:28">
      <c r="A1" s="146"/>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row>
    <row r="2" customHeight="1" spans="1:28">
      <c r="A2" s="43"/>
      <c r="B2" s="147" t="s">
        <v>0</v>
      </c>
      <c r="C2" s="147"/>
      <c r="D2" s="148"/>
      <c r="E2" s="148"/>
      <c r="F2" s="148"/>
      <c r="G2" s="148"/>
      <c r="H2" s="149" t="s">
        <v>1</v>
      </c>
      <c r="I2" s="149"/>
      <c r="J2" s="148"/>
      <c r="K2" s="148"/>
      <c r="L2" s="148"/>
      <c r="M2" s="148"/>
      <c r="N2" s="148"/>
      <c r="O2" s="148"/>
      <c r="P2" s="148"/>
      <c r="Q2" s="148"/>
      <c r="R2" s="148"/>
      <c r="S2" s="150"/>
      <c r="T2" s="151" t="s">
        <v>2</v>
      </c>
      <c r="U2" s="152" t="s">
        <v>3</v>
      </c>
      <c r="V2" s="152"/>
      <c r="W2" s="152"/>
      <c r="X2" s="1"/>
      <c r="Y2" s="152" t="s">
        <v>4</v>
      </c>
      <c r="Z2" s="56">
        <f ca="1">IF(X2="是",K7,0)+W3+X5</f>
        <v>0</v>
      </c>
      <c r="AA2" s="56"/>
      <c r="AB2" s="150"/>
    </row>
    <row r="3" customHeight="1" spans="1:28">
      <c r="A3" s="43"/>
      <c r="B3" s="147" t="s">
        <v>5</v>
      </c>
      <c r="C3" s="147"/>
      <c r="D3" s="148"/>
      <c r="E3" s="148"/>
      <c r="F3" s="148"/>
      <c r="G3" s="148"/>
      <c r="H3" s="149" t="s">
        <v>6</v>
      </c>
      <c r="I3" s="149"/>
      <c r="J3" s="148"/>
      <c r="K3" s="148"/>
      <c r="L3" s="148"/>
      <c r="M3" s="148"/>
      <c r="N3" s="148"/>
      <c r="O3" s="149" t="s">
        <v>7</v>
      </c>
      <c r="P3" s="153"/>
      <c r="Q3" s="149" t="s">
        <v>8</v>
      </c>
      <c r="R3" s="153"/>
      <c r="S3" s="150"/>
      <c r="T3" s="151"/>
      <c r="U3" s="154" t="s">
        <v>9</v>
      </c>
      <c r="V3" s="154"/>
      <c r="W3" s="155"/>
      <c r="X3" s="56"/>
      <c r="Y3" s="152" t="s">
        <v>10</v>
      </c>
      <c r="Z3" s="56">
        <f>武备!Q115</f>
        <v>0</v>
      </c>
      <c r="AA3" s="56"/>
      <c r="AB3" s="150"/>
    </row>
    <row r="4" customHeight="1" spans="1:28">
      <c r="A4" s="43"/>
      <c r="B4" s="147" t="s">
        <v>11</v>
      </c>
      <c r="C4" s="147"/>
      <c r="D4" s="148"/>
      <c r="E4" s="148"/>
      <c r="F4" s="148"/>
      <c r="G4" s="148"/>
      <c r="H4" s="149" t="s">
        <v>12</v>
      </c>
      <c r="I4" s="149"/>
      <c r="J4" s="148" t="str">
        <f>IF(N4="","","Rank "&amp;COUNTIF(Z$35:Z$50,"&lt;="&amp;Q4)+1)</f>
        <v/>
      </c>
      <c r="K4" s="148"/>
      <c r="L4" s="149" t="s">
        <v>13</v>
      </c>
      <c r="M4" s="156" t="s">
        <v>14</v>
      </c>
      <c r="N4" s="157"/>
      <c r="O4" s="157"/>
      <c r="P4" s="156" t="s">
        <v>10</v>
      </c>
      <c r="Q4" s="148" t="str">
        <f>IF(N4="","",I22+R58+R99+H138+H109)</f>
        <v/>
      </c>
      <c r="R4" s="148"/>
      <c r="S4" s="150"/>
      <c r="T4" s="151"/>
      <c r="U4" s="152" t="s">
        <v>15</v>
      </c>
      <c r="V4" s="152"/>
      <c r="W4" s="56"/>
      <c r="X4" s="56"/>
      <c r="Y4" s="152" t="s">
        <v>16</v>
      </c>
      <c r="Z4" s="56">
        <f ca="1">Z2-Z3</f>
        <v>0</v>
      </c>
      <c r="AA4" s="56"/>
      <c r="AB4" s="150"/>
    </row>
    <row r="5" customHeight="1" spans="1:28">
      <c r="A5" s="43"/>
      <c r="B5" s="158"/>
      <c r="C5" s="159"/>
      <c r="D5" s="159"/>
      <c r="E5" s="159"/>
      <c r="F5" s="159"/>
      <c r="G5" s="150"/>
      <c r="H5" s="159"/>
      <c r="I5" s="159"/>
      <c r="J5" s="150"/>
      <c r="K5" s="150"/>
      <c r="L5" s="150"/>
      <c r="M5" s="150"/>
      <c r="N5" s="150"/>
      <c r="O5" s="150"/>
      <c r="P5" s="150"/>
      <c r="Q5" s="150"/>
      <c r="R5" s="150"/>
      <c r="S5" s="150"/>
      <c r="T5" s="150"/>
      <c r="U5" s="150"/>
      <c r="V5" s="150"/>
      <c r="W5" s="150"/>
      <c r="X5" s="150"/>
      <c r="Y5" s="150"/>
      <c r="Z5" s="150"/>
      <c r="AA5" s="160"/>
      <c r="AB5" s="150"/>
    </row>
    <row r="6" customHeight="1" spans="1:28">
      <c r="A6" s="43"/>
      <c r="B6" s="161" t="s">
        <v>17</v>
      </c>
      <c r="C6" s="162"/>
      <c r="D6" s="162"/>
      <c r="E6" s="162"/>
      <c r="F6" s="163"/>
      <c r="G6" s="164" t="s">
        <v>18</v>
      </c>
      <c r="H6" s="149" t="s">
        <v>19</v>
      </c>
      <c r="I6" s="164" t="s">
        <v>20</v>
      </c>
      <c r="J6" s="165"/>
      <c r="K6" s="164" t="s">
        <v>21</v>
      </c>
      <c r="L6" s="165"/>
      <c r="M6" s="166" t="s">
        <v>22</v>
      </c>
      <c r="N6" s="149" t="s">
        <v>23</v>
      </c>
      <c r="O6" s="167" t="str">
        <f>IFERROR(VLOOKUP(N7,人物数据!$A:$B,2,0),"")</f>
        <v/>
      </c>
      <c r="P6" s="167"/>
      <c r="Q6" s="167"/>
      <c r="R6" s="167"/>
      <c r="S6" s="167"/>
      <c r="T6" s="167"/>
      <c r="U6" s="167"/>
      <c r="V6" s="167"/>
      <c r="W6" s="167"/>
      <c r="X6" s="167"/>
      <c r="Y6" s="167"/>
      <c r="Z6" s="167"/>
      <c r="AA6" s="167"/>
      <c r="AB6" s="150"/>
    </row>
    <row r="7" customHeight="1" spans="1:28">
      <c r="A7" s="43"/>
      <c r="B7" s="168"/>
      <c r="C7" s="169"/>
      <c r="D7" s="169"/>
      <c r="E7" s="169"/>
      <c r="F7" s="170"/>
      <c r="G7" s="171" t="str">
        <f>IFERROR(VLOOKUP(B7,职业数据!$E:$G,2,0),"")</f>
        <v/>
      </c>
      <c r="H7" s="172" t="str">
        <f>IFERROR(VLOOKUP(B7,职业数据!$E:$G,3,0),"")</f>
        <v/>
      </c>
      <c r="I7" s="171"/>
      <c r="J7" s="173"/>
      <c r="K7" s="171" t="str" cm="1">
        <f ca="1" t="array" ref="K7">IF(B7="","",IF(N4&lt;400,0,SUMPRODUCT((ROW(INDIRECT("1:"&amp;INT(N4/400)))*400&lt;=N4)*(G7+(COUNTIFS(Z$35:Z$50,"&lt;="&amp;ROW(INDIRECT("1:"&amp;INT(N4/400)))*400)*H7))))+I7)</f>
        <v/>
      </c>
      <c r="L7" s="173"/>
      <c r="M7" s="174"/>
      <c r="N7" s="153"/>
      <c r="O7" s="167"/>
      <c r="P7" s="167"/>
      <c r="Q7" s="167"/>
      <c r="R7" s="167"/>
      <c r="S7" s="167"/>
      <c r="T7" s="167"/>
      <c r="U7" s="167"/>
      <c r="V7" s="167"/>
      <c r="W7" s="167"/>
      <c r="X7" s="167"/>
      <c r="Y7" s="167"/>
      <c r="Z7" s="167"/>
      <c r="AA7" s="167"/>
      <c r="AB7" s="150"/>
    </row>
    <row r="8" customHeight="1" spans="1:28">
      <c r="A8" s="43"/>
      <c r="B8" s="175"/>
      <c r="C8" s="175"/>
      <c r="D8" s="176"/>
      <c r="E8" s="177"/>
      <c r="F8" s="177"/>
      <c r="G8" s="159"/>
      <c r="H8" s="150"/>
      <c r="I8" s="150"/>
      <c r="J8" s="150"/>
      <c r="K8" s="150"/>
      <c r="L8" s="159"/>
      <c r="M8" s="178"/>
      <c r="N8" s="150"/>
      <c r="O8" s="146"/>
      <c r="P8" s="146"/>
      <c r="Q8" s="146"/>
      <c r="R8" s="146"/>
      <c r="S8" s="146"/>
      <c r="T8" s="146"/>
      <c r="U8" s="146"/>
      <c r="V8" s="146"/>
      <c r="W8" s="146"/>
      <c r="X8" s="146"/>
      <c r="Y8" s="146"/>
      <c r="Z8" s="146"/>
      <c r="AA8" s="146"/>
      <c r="AB8" s="150"/>
    </row>
    <row r="9" customHeight="1" spans="1:28">
      <c r="A9" s="43"/>
      <c r="B9" s="147" t="s">
        <v>24</v>
      </c>
      <c r="C9" s="147"/>
      <c r="D9" s="156" t="s">
        <v>25</v>
      </c>
      <c r="E9" s="179"/>
      <c r="F9" s="180"/>
      <c r="G9" s="173"/>
      <c r="H9" s="156" t="s">
        <v>26</v>
      </c>
      <c r="I9" s="179"/>
      <c r="J9" s="180"/>
      <c r="K9" s="181"/>
      <c r="L9" s="182" t="s">
        <v>27</v>
      </c>
      <c r="M9" s="183"/>
      <c r="N9" s="184"/>
      <c r="O9" s="184"/>
      <c r="P9" s="184"/>
      <c r="Q9" s="184"/>
      <c r="R9" s="184"/>
      <c r="S9" s="184"/>
      <c r="T9" s="184"/>
      <c r="U9" s="184"/>
      <c r="V9" s="184"/>
      <c r="W9" s="184"/>
      <c r="X9" s="184"/>
      <c r="Y9" s="184"/>
      <c r="Z9" s="184"/>
      <c r="AA9" s="184"/>
      <c r="AB9" s="150"/>
    </row>
    <row r="10" customHeight="1" spans="1:28">
      <c r="A10" s="43"/>
      <c r="B10" s="147"/>
      <c r="C10" s="147"/>
      <c r="D10" s="156" t="s">
        <v>28</v>
      </c>
      <c r="E10" s="179"/>
      <c r="F10" s="180"/>
      <c r="G10" s="173"/>
      <c r="H10" s="156" t="s">
        <v>29</v>
      </c>
      <c r="I10" s="179"/>
      <c r="J10" s="180"/>
      <c r="K10" s="181"/>
      <c r="L10" s="185"/>
      <c r="M10" s="186"/>
      <c r="N10" s="184"/>
      <c r="O10" s="184"/>
      <c r="P10" s="184"/>
      <c r="Q10" s="184"/>
      <c r="R10" s="184"/>
      <c r="S10" s="184"/>
      <c r="T10" s="184"/>
      <c r="U10" s="184"/>
      <c r="V10" s="184"/>
      <c r="W10" s="184"/>
      <c r="X10" s="184"/>
      <c r="Y10" s="184"/>
      <c r="Z10" s="184"/>
      <c r="AA10" s="184"/>
      <c r="AB10" s="150"/>
    </row>
    <row r="11" customHeight="1" spans="1:28">
      <c r="A11" s="43"/>
      <c r="B11" s="187"/>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60"/>
      <c r="AB11" s="150"/>
    </row>
    <row r="12" customHeight="1" spans="1:28">
      <c r="A12" s="188"/>
      <c r="B12" s="147" t="s">
        <v>30</v>
      </c>
      <c r="C12" s="147"/>
      <c r="D12" s="156" t="s">
        <v>31</v>
      </c>
      <c r="E12" s="156" t="s">
        <v>32</v>
      </c>
      <c r="F12" s="156" t="s">
        <v>33</v>
      </c>
      <c r="G12" s="156" t="s">
        <v>34</v>
      </c>
      <c r="H12" s="156" t="s">
        <v>35</v>
      </c>
      <c r="I12" s="156" t="s">
        <v>36</v>
      </c>
      <c r="J12" s="156" t="s">
        <v>37</v>
      </c>
      <c r="K12" s="149" t="s">
        <v>38</v>
      </c>
      <c r="L12" s="156" t="s">
        <v>39</v>
      </c>
      <c r="M12" s="189" t="s">
        <v>40</v>
      </c>
      <c r="N12" s="190" t="s">
        <v>41</v>
      </c>
      <c r="O12" s="153"/>
      <c r="P12" s="153"/>
      <c r="Q12" s="190" t="s">
        <v>42</v>
      </c>
      <c r="R12" s="153"/>
      <c r="S12" s="150"/>
      <c r="T12" s="191" t="s">
        <v>43</v>
      </c>
      <c r="U12" s="191"/>
      <c r="V12" s="192"/>
      <c r="W12" s="192"/>
      <c r="X12" s="192"/>
      <c r="Y12" s="192"/>
      <c r="Z12" s="192"/>
      <c r="AA12" s="192"/>
      <c r="AB12" s="150"/>
    </row>
    <row r="13" customHeight="1" spans="1:28">
      <c r="A13" s="188"/>
      <c r="B13" s="147" t="s">
        <v>44</v>
      </c>
      <c r="C13" s="147"/>
      <c r="D13" s="193"/>
      <c r="E13" s="194">
        <v>1</v>
      </c>
      <c r="F13" s="194"/>
      <c r="G13" s="195"/>
      <c r="H13" s="195"/>
      <c r="I13" s="196"/>
      <c r="J13" s="194"/>
      <c r="K13" s="197">
        <f t="shared" ref="K13:K21" si="0">D13+G13+H13-J13</f>
        <v>0</v>
      </c>
      <c r="L13" s="195">
        <f t="shared" ref="L13:L21" si="1">INT(K13/10)*E13</f>
        <v>0</v>
      </c>
      <c r="M13" s="189"/>
      <c r="N13" s="198"/>
      <c r="O13" s="198"/>
      <c r="P13" s="198"/>
      <c r="Q13" s="198"/>
      <c r="R13" s="198"/>
      <c r="S13" s="150">
        <v>80</v>
      </c>
      <c r="T13" s="191"/>
      <c r="U13" s="191"/>
      <c r="V13" s="192"/>
      <c r="W13" s="192"/>
      <c r="X13" s="192"/>
      <c r="Y13" s="192"/>
      <c r="Z13" s="192"/>
      <c r="AA13" s="192"/>
      <c r="AB13" s="150"/>
    </row>
    <row r="14" customHeight="1" spans="1:28">
      <c r="A14" s="43"/>
      <c r="B14" s="147" t="s">
        <v>45</v>
      </c>
      <c r="C14" s="147"/>
      <c r="D14" s="193"/>
      <c r="E14" s="194">
        <v>1</v>
      </c>
      <c r="F14" s="194"/>
      <c r="G14" s="195"/>
      <c r="H14" s="195"/>
      <c r="I14" s="196"/>
      <c r="J14" s="194"/>
      <c r="K14" s="197">
        <f t="shared" si="0"/>
        <v>0</v>
      </c>
      <c r="L14" s="195">
        <f t="shared" si="1"/>
        <v>0</v>
      </c>
      <c r="M14" s="189"/>
      <c r="N14" s="198"/>
      <c r="O14" s="198"/>
      <c r="P14" s="198"/>
      <c r="Q14" s="198"/>
      <c r="R14" s="198"/>
      <c r="S14" s="150">
        <v>80</v>
      </c>
      <c r="T14" s="191"/>
      <c r="U14" s="191"/>
      <c r="V14" s="192"/>
      <c r="W14" s="192"/>
      <c r="X14" s="192"/>
      <c r="Y14" s="192"/>
      <c r="Z14" s="192"/>
      <c r="AA14" s="192"/>
      <c r="AB14" s="150"/>
    </row>
    <row r="15" customHeight="1" spans="1:28">
      <c r="A15" s="43"/>
      <c r="B15" s="147" t="s">
        <v>46</v>
      </c>
      <c r="C15" s="147"/>
      <c r="D15" s="193"/>
      <c r="E15" s="194">
        <v>1</v>
      </c>
      <c r="F15" s="153"/>
      <c r="G15" s="195"/>
      <c r="H15" s="195"/>
      <c r="I15" s="199"/>
      <c r="J15" s="153"/>
      <c r="K15" s="197">
        <f t="shared" si="0"/>
        <v>0</v>
      </c>
      <c r="L15" s="195">
        <f t="shared" si="1"/>
        <v>0</v>
      </c>
      <c r="M15" s="153"/>
      <c r="N15" s="198"/>
      <c r="O15" s="198"/>
      <c r="P15" s="198"/>
      <c r="Q15" s="198"/>
      <c r="R15" s="198"/>
      <c r="S15" s="150">
        <v>80</v>
      </c>
      <c r="T15" s="191"/>
      <c r="U15" s="191"/>
      <c r="V15" s="192"/>
      <c r="W15" s="192"/>
      <c r="X15" s="192"/>
      <c r="Y15" s="192"/>
      <c r="Z15" s="192"/>
      <c r="AA15" s="192"/>
      <c r="AB15" s="150"/>
    </row>
    <row r="16" customHeight="1" spans="1:28">
      <c r="A16" s="43"/>
      <c r="B16" s="147" t="s">
        <v>47</v>
      </c>
      <c r="C16" s="147"/>
      <c r="D16" s="193"/>
      <c r="E16" s="194">
        <v>1</v>
      </c>
      <c r="F16" s="153"/>
      <c r="G16" s="195"/>
      <c r="H16" s="195"/>
      <c r="I16" s="199"/>
      <c r="J16" s="153"/>
      <c r="K16" s="197">
        <f t="shared" si="0"/>
        <v>0</v>
      </c>
      <c r="L16" s="195">
        <f t="shared" si="1"/>
        <v>0</v>
      </c>
      <c r="M16" s="153"/>
      <c r="N16" s="198"/>
      <c r="O16" s="198"/>
      <c r="P16" s="198"/>
      <c r="Q16" s="198"/>
      <c r="R16" s="198"/>
      <c r="S16" s="150">
        <v>80</v>
      </c>
      <c r="T16" s="191"/>
      <c r="U16" s="191"/>
      <c r="V16" s="192"/>
      <c r="W16" s="192"/>
      <c r="X16" s="192"/>
      <c r="Y16" s="192"/>
      <c r="Z16" s="192"/>
      <c r="AA16" s="192"/>
      <c r="AB16" s="150"/>
    </row>
    <row r="17" customHeight="1" spans="1:28">
      <c r="A17" s="43"/>
      <c r="B17" s="147" t="s">
        <v>48</v>
      </c>
      <c r="C17" s="147"/>
      <c r="D17" s="193"/>
      <c r="E17" s="194">
        <v>1</v>
      </c>
      <c r="F17" s="153"/>
      <c r="G17" s="195"/>
      <c r="H17" s="195"/>
      <c r="I17" s="199"/>
      <c r="J17" s="153"/>
      <c r="K17" s="197">
        <f t="shared" si="0"/>
        <v>0</v>
      </c>
      <c r="L17" s="195">
        <f t="shared" si="1"/>
        <v>0</v>
      </c>
      <c r="M17" s="200" t="s">
        <v>49</v>
      </c>
      <c r="N17" s="198"/>
      <c r="O17" s="198"/>
      <c r="P17" s="198"/>
      <c r="Q17" s="198"/>
      <c r="R17" s="198"/>
      <c r="S17" s="150">
        <v>80</v>
      </c>
      <c r="T17" s="191"/>
      <c r="U17" s="191"/>
      <c r="V17" s="192"/>
      <c r="W17" s="192"/>
      <c r="X17" s="192"/>
      <c r="Y17" s="192"/>
      <c r="Z17" s="192"/>
      <c r="AA17" s="192"/>
      <c r="AB17" s="150"/>
    </row>
    <row r="18" customHeight="1" spans="1:28">
      <c r="A18" s="188"/>
      <c r="B18" s="147" t="s">
        <v>50</v>
      </c>
      <c r="C18" s="147"/>
      <c r="D18" s="193"/>
      <c r="E18" s="194">
        <v>1</v>
      </c>
      <c r="F18" s="153"/>
      <c r="G18" s="195"/>
      <c r="H18" s="195"/>
      <c r="I18" s="199"/>
      <c r="J18" s="153"/>
      <c r="K18" s="197">
        <f t="shared" si="0"/>
        <v>0</v>
      </c>
      <c r="L18" s="195">
        <f t="shared" si="1"/>
        <v>0</v>
      </c>
      <c r="M18" s="200"/>
      <c r="N18" s="200"/>
      <c r="O18" s="198"/>
      <c r="P18" s="198"/>
      <c r="Q18" s="198"/>
      <c r="R18" s="198"/>
      <c r="S18" s="150">
        <v>80</v>
      </c>
      <c r="T18" s="191"/>
      <c r="U18" s="191"/>
      <c r="V18" s="192"/>
      <c r="W18" s="192"/>
      <c r="X18" s="192"/>
      <c r="Y18" s="192"/>
      <c r="Z18" s="192"/>
      <c r="AA18" s="192"/>
      <c r="AB18" s="150"/>
    </row>
    <row r="19" customHeight="1" spans="1:28">
      <c r="A19" s="43"/>
      <c r="B19" s="147" t="s">
        <v>51</v>
      </c>
      <c r="C19" s="147"/>
      <c r="D19" s="193"/>
      <c r="E19" s="194">
        <v>1</v>
      </c>
      <c r="F19" s="194"/>
      <c r="G19" s="195"/>
      <c r="H19" s="195"/>
      <c r="I19" s="199"/>
      <c r="J19" s="194"/>
      <c r="K19" s="197">
        <f t="shared" si="0"/>
        <v>0</v>
      </c>
      <c r="L19" s="195">
        <f t="shared" si="1"/>
        <v>0</v>
      </c>
      <c r="M19" s="200"/>
      <c r="N19" s="198"/>
      <c r="O19" s="198"/>
      <c r="P19" s="198"/>
      <c r="Q19" s="198"/>
      <c r="R19" s="198"/>
      <c r="S19" s="150">
        <v>80</v>
      </c>
      <c r="T19" s="191"/>
      <c r="U19" s="191"/>
      <c r="V19" s="192"/>
      <c r="W19" s="192"/>
      <c r="X19" s="192"/>
      <c r="Y19" s="192"/>
      <c r="Z19" s="192"/>
      <c r="AA19" s="192"/>
      <c r="AB19" s="150"/>
    </row>
    <row r="20" customHeight="1" spans="1:28">
      <c r="A20" s="43"/>
      <c r="B20" s="147" t="s">
        <v>52</v>
      </c>
      <c r="C20" s="147"/>
      <c r="D20" s="193"/>
      <c r="E20" s="194">
        <v>1</v>
      </c>
      <c r="F20" s="153"/>
      <c r="G20" s="195"/>
      <c r="H20" s="195"/>
      <c r="I20" s="199"/>
      <c r="J20" s="153"/>
      <c r="K20" s="197">
        <f t="shared" si="0"/>
        <v>0</v>
      </c>
      <c r="L20" s="195">
        <f t="shared" si="1"/>
        <v>0</v>
      </c>
      <c r="M20" s="153"/>
      <c r="N20" s="198"/>
      <c r="O20" s="198"/>
      <c r="P20" s="198"/>
      <c r="Q20" s="198"/>
      <c r="R20" s="198"/>
      <c r="S20" s="150">
        <v>80</v>
      </c>
      <c r="T20" s="191"/>
      <c r="U20" s="191"/>
      <c r="V20" s="192"/>
      <c r="W20" s="192"/>
      <c r="X20" s="192"/>
      <c r="Y20" s="192"/>
      <c r="Z20" s="192"/>
      <c r="AA20" s="192"/>
      <c r="AB20" s="150"/>
    </row>
    <row r="21" customHeight="1" spans="1:28">
      <c r="A21" s="43"/>
      <c r="B21" s="147" t="s">
        <v>53</v>
      </c>
      <c r="C21" s="147"/>
      <c r="D21" s="193"/>
      <c r="E21" s="194">
        <v>1</v>
      </c>
      <c r="F21" s="153"/>
      <c r="G21" s="195"/>
      <c r="H21" s="195"/>
      <c r="I21" s="199"/>
      <c r="J21" s="153"/>
      <c r="K21" s="197">
        <f t="shared" si="0"/>
        <v>0</v>
      </c>
      <c r="L21" s="195">
        <f t="shared" si="1"/>
        <v>0</v>
      </c>
      <c r="M21" s="153"/>
      <c r="N21" s="198"/>
      <c r="O21" s="198"/>
      <c r="P21" s="198"/>
      <c r="Q21" s="198"/>
      <c r="R21" s="198"/>
      <c r="S21" s="150">
        <v>80</v>
      </c>
      <c r="T21" s="191"/>
      <c r="U21" s="191"/>
      <c r="V21" s="192"/>
      <c r="W21" s="192"/>
      <c r="X21" s="192"/>
      <c r="Y21" s="192"/>
      <c r="Z21" s="192"/>
      <c r="AA21" s="192"/>
      <c r="AB21" s="150"/>
    </row>
    <row r="22" customHeight="1" spans="1:28">
      <c r="A22" s="43"/>
      <c r="B22" s="187"/>
      <c r="C22" s="150"/>
      <c r="D22" s="150"/>
      <c r="E22" s="150"/>
      <c r="F22" s="150"/>
      <c r="G22" s="150"/>
      <c r="H22" s="150"/>
      <c r="I22" s="190">
        <f>SUM(I13:I21)</f>
        <v>0</v>
      </c>
      <c r="J22" s="150"/>
      <c r="K22" s="150"/>
      <c r="L22" s="150"/>
      <c r="M22" s="150"/>
      <c r="N22" s="150"/>
      <c r="O22" s="150"/>
      <c r="P22" s="150"/>
      <c r="Q22" s="150"/>
      <c r="R22" s="150"/>
      <c r="S22" s="150"/>
      <c r="T22" s="150"/>
      <c r="U22" s="150"/>
      <c r="V22" s="150"/>
      <c r="W22" s="160" t="s">
        <v>1</v>
      </c>
      <c r="X22" s="160"/>
      <c r="Y22" s="160"/>
      <c r="Z22" s="160"/>
      <c r="AA22" s="160"/>
      <c r="AB22" s="150"/>
    </row>
    <row r="23" customHeight="1" spans="1:28">
      <c r="A23" s="43"/>
      <c r="B23" s="147" t="s">
        <v>54</v>
      </c>
      <c r="C23" s="147"/>
      <c r="D23" s="147"/>
      <c r="E23" s="147"/>
      <c r="F23" s="147"/>
      <c r="G23" s="147"/>
      <c r="H23" s="147"/>
      <c r="I23" s="147"/>
      <c r="J23" s="147"/>
      <c r="K23" s="147"/>
      <c r="L23" s="147"/>
      <c r="M23" s="147"/>
      <c r="N23" s="147"/>
      <c r="O23" s="147"/>
      <c r="P23" s="147"/>
      <c r="Q23" s="147"/>
      <c r="R23" s="147"/>
      <c r="S23" s="150"/>
      <c r="T23" s="149" t="s">
        <v>55</v>
      </c>
      <c r="U23" s="149"/>
      <c r="V23" s="149"/>
      <c r="W23" s="149"/>
      <c r="X23" s="149"/>
      <c r="Y23" s="149"/>
      <c r="Z23" s="149"/>
      <c r="AA23" s="149"/>
      <c r="AB23" s="150"/>
    </row>
    <row r="24" customHeight="1" spans="1:28">
      <c r="A24" s="43"/>
      <c r="B24" s="201" t="s">
        <v>56</v>
      </c>
      <c r="C24" s="201"/>
      <c r="D24" s="202" t="s">
        <v>31</v>
      </c>
      <c r="E24" s="203"/>
      <c r="F24" s="202" t="s">
        <v>34</v>
      </c>
      <c r="G24" s="203"/>
      <c r="H24" s="202" t="s">
        <v>33</v>
      </c>
      <c r="I24" s="148"/>
      <c r="J24" s="204" t="s">
        <v>37</v>
      </c>
      <c r="K24" s="203"/>
      <c r="L24" s="202" t="s">
        <v>33</v>
      </c>
      <c r="M24" s="203"/>
      <c r="N24" s="202" t="s">
        <v>57</v>
      </c>
      <c r="O24" s="202"/>
      <c r="P24" s="203">
        <f>E24+G24-K24</f>
        <v>0</v>
      </c>
      <c r="Q24" s="205" t="s">
        <v>16</v>
      </c>
      <c r="R24" s="202"/>
      <c r="S24" s="150"/>
      <c r="T24" s="206" t="s">
        <v>58</v>
      </c>
      <c r="U24" s="206"/>
      <c r="V24" s="207"/>
      <c r="W24" s="148"/>
      <c r="X24" s="148"/>
      <c r="Y24" s="206" t="s">
        <v>59</v>
      </c>
      <c r="Z24" s="206"/>
      <c r="AA24" s="208"/>
      <c r="AB24" s="150"/>
    </row>
    <row r="25" customHeight="1" spans="1:28">
      <c r="A25" s="43"/>
      <c r="B25" s="201" t="s">
        <v>60</v>
      </c>
      <c r="C25" s="201"/>
      <c r="D25" s="209" t="s">
        <v>61</v>
      </c>
      <c r="E25" s="148"/>
      <c r="F25" s="209" t="s">
        <v>62</v>
      </c>
      <c r="G25" s="148"/>
      <c r="H25" s="209" t="s">
        <v>63</v>
      </c>
      <c r="I25" s="148"/>
      <c r="J25" s="209" t="s">
        <v>64</v>
      </c>
      <c r="K25" s="148"/>
      <c r="L25" s="209" t="s">
        <v>65</v>
      </c>
      <c r="M25" s="148"/>
      <c r="N25" s="209" t="s">
        <v>66</v>
      </c>
      <c r="O25" s="148"/>
      <c r="P25" s="156" t="s">
        <v>67</v>
      </c>
      <c r="Q25" s="156"/>
      <c r="R25" s="148">
        <v>0</v>
      </c>
      <c r="S25" s="150"/>
      <c r="T25" s="206" t="s">
        <v>68</v>
      </c>
      <c r="U25" s="206"/>
      <c r="V25" s="207"/>
      <c r="W25" s="148"/>
      <c r="X25" s="148"/>
      <c r="Y25" s="206" t="s">
        <v>69</v>
      </c>
      <c r="Z25" s="206"/>
      <c r="AA25" s="208"/>
      <c r="AB25" s="150"/>
    </row>
    <row r="26" customHeight="1" spans="1:28">
      <c r="A26" s="43"/>
      <c r="B26" s="210" t="s">
        <v>70</v>
      </c>
      <c r="C26" s="210"/>
      <c r="D26" s="209"/>
      <c r="E26" s="148"/>
      <c r="F26" s="209"/>
      <c r="G26" s="148"/>
      <c r="H26" s="209"/>
      <c r="I26" s="148"/>
      <c r="J26" s="209"/>
      <c r="K26" s="148"/>
      <c r="L26" s="209"/>
      <c r="M26" s="148"/>
      <c r="N26" s="209"/>
      <c r="O26" s="148"/>
      <c r="P26" s="156" t="s">
        <v>71</v>
      </c>
      <c r="Q26" s="156"/>
      <c r="R26" s="148" t="s">
        <v>72</v>
      </c>
      <c r="S26" s="150"/>
      <c r="T26" s="206" t="s">
        <v>73</v>
      </c>
      <c r="U26" s="206"/>
      <c r="V26" s="207"/>
      <c r="W26" s="148"/>
      <c r="X26" s="148"/>
      <c r="Y26" s="206" t="s">
        <v>74</v>
      </c>
      <c r="Z26" s="206"/>
      <c r="AA26" s="208"/>
      <c r="AB26" s="150"/>
    </row>
    <row r="27" customHeight="1" spans="1:28">
      <c r="A27" s="43"/>
      <c r="B27" s="210" t="s">
        <v>75</v>
      </c>
      <c r="C27" s="210"/>
      <c r="D27" s="209"/>
      <c r="E27" s="148"/>
      <c r="F27" s="209"/>
      <c r="G27" s="148"/>
      <c r="H27" s="209"/>
      <c r="I27" s="148"/>
      <c r="J27" s="209"/>
      <c r="K27" s="148"/>
      <c r="L27" s="209"/>
      <c r="M27" s="148"/>
      <c r="N27" s="209"/>
      <c r="O27" s="148"/>
      <c r="P27" s="149" t="s">
        <v>76</v>
      </c>
      <c r="Q27" s="149"/>
      <c r="R27" s="195">
        <f>L16</f>
        <v>0</v>
      </c>
      <c r="S27" s="150"/>
      <c r="T27" s="206" t="s">
        <v>77</v>
      </c>
      <c r="U27" s="206"/>
      <c r="V27" s="207"/>
      <c r="W27" s="148"/>
      <c r="X27" s="148"/>
      <c r="Y27" s="206" t="s">
        <v>77</v>
      </c>
      <c r="Z27" s="206"/>
      <c r="AA27" s="208"/>
      <c r="AB27" s="150"/>
    </row>
    <row r="28" customHeight="1" spans="1:28">
      <c r="A28" s="43"/>
      <c r="B28" s="187"/>
      <c r="C28" s="150"/>
      <c r="D28" s="150"/>
      <c r="E28" s="150"/>
      <c r="F28" s="150"/>
      <c r="G28" s="150"/>
      <c r="H28" s="150"/>
      <c r="I28" s="150"/>
      <c r="J28" s="150"/>
      <c r="K28" s="150"/>
      <c r="L28" s="150"/>
      <c r="M28" s="150"/>
      <c r="N28" s="150"/>
      <c r="O28" s="150"/>
      <c r="P28" s="150"/>
      <c r="Q28" s="150"/>
      <c r="R28" s="190"/>
      <c r="S28" s="150"/>
      <c r="T28" s="150"/>
      <c r="U28" s="150"/>
      <c r="V28" s="150"/>
      <c r="W28" s="150"/>
      <c r="X28" s="150"/>
      <c r="Y28" s="150"/>
      <c r="Z28" s="150"/>
      <c r="AA28" s="160"/>
      <c r="AB28" s="150"/>
    </row>
    <row r="29" customHeight="1" spans="1:28">
      <c r="A29" s="43"/>
      <c r="B29" s="147" t="s">
        <v>78</v>
      </c>
      <c r="C29" s="147"/>
      <c r="D29" s="156" t="s">
        <v>79</v>
      </c>
      <c r="E29" s="156"/>
      <c r="F29" s="156" t="s">
        <v>80</v>
      </c>
      <c r="G29" s="156"/>
      <c r="H29" s="156" t="s">
        <v>81</v>
      </c>
      <c r="I29" s="156"/>
      <c r="J29" s="156" t="s">
        <v>82</v>
      </c>
      <c r="K29" s="156"/>
      <c r="L29" s="156" t="s">
        <v>83</v>
      </c>
      <c r="M29" s="156"/>
      <c r="N29" s="156" t="s">
        <v>84</v>
      </c>
      <c r="O29" s="156"/>
      <c r="P29" s="156" t="s">
        <v>85</v>
      </c>
      <c r="Q29" s="156"/>
      <c r="R29" s="156" t="s">
        <v>33</v>
      </c>
      <c r="S29" s="150"/>
      <c r="T29" s="193" t="s">
        <v>86</v>
      </c>
      <c r="U29" s="193"/>
      <c r="V29" s="209">
        <f>VLOOKUP(V31,人物数据!C2:F22,2,FALSE())</f>
        <v>0.9</v>
      </c>
      <c r="W29" s="209"/>
      <c r="X29" s="193" t="s">
        <v>87</v>
      </c>
      <c r="Y29" s="193"/>
      <c r="Z29" s="211">
        <f>武备!Q4+武备!Q14+SUM(武备!Q25:Q29)+SUM(武备!Q33:Q34)+SUM(武备!Q38:Q49)+SUM(武备!Q53:Q67)</f>
        <v>0</v>
      </c>
      <c r="AA29" s="211"/>
      <c r="AB29" s="150"/>
    </row>
    <row r="30" customHeight="1" spans="1:28">
      <c r="A30" s="43"/>
      <c r="B30" s="147" t="s">
        <v>88</v>
      </c>
      <c r="C30" s="147"/>
      <c r="D30" s="153">
        <f>L17</f>
        <v>0</v>
      </c>
      <c r="E30" s="153"/>
      <c r="F30" s="153">
        <f>D30*2</f>
        <v>0</v>
      </c>
      <c r="G30" s="153"/>
      <c r="H30" s="153">
        <f>D30*3</f>
        <v>0</v>
      </c>
      <c r="I30" s="153"/>
      <c r="J30" s="153">
        <f>D30*6</f>
        <v>0</v>
      </c>
      <c r="K30" s="153"/>
      <c r="L30" s="153" t="str">
        <f>VLOOKUP(L17,人物数据!H2:O12,6,FALSE())</f>
        <v>12m</v>
      </c>
      <c r="M30" s="153"/>
      <c r="N30" s="153" t="str">
        <f>VLOOKUP(L17,人物数据!H2:O12,7,FALSE())</f>
        <v>0.75km</v>
      </c>
      <c r="O30" s="153"/>
      <c r="P30" s="153" t="str">
        <f>VLOOKUP(L17,人物数据!H2:O12,8,FALSE())</f>
        <v>7km</v>
      </c>
      <c r="Q30" s="153"/>
      <c r="R30" s="153" t="s">
        <v>89</v>
      </c>
      <c r="S30" s="150"/>
      <c r="T30" s="193" t="s">
        <v>90</v>
      </c>
      <c r="U30" s="193"/>
      <c r="V30" s="152" t="s">
        <v>91</v>
      </c>
      <c r="W30" s="152"/>
      <c r="X30" s="152" t="s">
        <v>92</v>
      </c>
      <c r="Y30" s="152"/>
      <c r="Z30" s="212" t="s">
        <v>93</v>
      </c>
      <c r="AA30" s="212"/>
      <c r="AB30" s="150"/>
    </row>
    <row r="31" customHeight="1" spans="1:28">
      <c r="A31" s="43"/>
      <c r="B31" s="147" t="s">
        <v>94</v>
      </c>
      <c r="C31" s="147"/>
      <c r="D31" s="202" t="s">
        <v>95</v>
      </c>
      <c r="E31" s="202"/>
      <c r="F31" s="202" t="s">
        <v>95</v>
      </c>
      <c r="G31" s="202"/>
      <c r="H31" s="202" t="s">
        <v>95</v>
      </c>
      <c r="I31" s="202"/>
      <c r="J31" s="202">
        <f>J30*2</f>
        <v>0</v>
      </c>
      <c r="K31" s="202"/>
      <c r="L31" s="202" t="s">
        <v>95</v>
      </c>
      <c r="M31" s="202"/>
      <c r="N31" s="202" t="s">
        <v>95</v>
      </c>
      <c r="O31" s="202"/>
      <c r="P31" s="202" t="s">
        <v>95</v>
      </c>
      <c r="Q31" s="202"/>
      <c r="R31" s="202" t="s">
        <v>89</v>
      </c>
      <c r="S31" s="150"/>
      <c r="T31" s="193"/>
      <c r="U31" s="193"/>
      <c r="V31" s="209">
        <f>L15+L16</f>
        <v>0</v>
      </c>
      <c r="W31" s="209"/>
      <c r="X31" s="209">
        <f>VLOOKUP(V31,人物数据!C2:F22,3,FALSE())</f>
        <v>2.25</v>
      </c>
      <c r="Y31" s="209"/>
      <c r="Z31" s="213">
        <f>VLOOKUP(V31,人物数据!C2:F22,4,FALSE())</f>
        <v>4.5</v>
      </c>
      <c r="AA31" s="213"/>
      <c r="AB31" s="150"/>
    </row>
    <row r="32" customHeight="1" spans="1:28">
      <c r="A32" s="43"/>
      <c r="B32" s="187"/>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60"/>
      <c r="AB32" s="150"/>
    </row>
    <row r="33" customHeight="1" spans="1:28">
      <c r="A33" s="43"/>
      <c r="B33" s="147" t="s">
        <v>96</v>
      </c>
      <c r="C33" s="147"/>
      <c r="D33" s="156" t="s">
        <v>31</v>
      </c>
      <c r="E33" s="156"/>
      <c r="F33" s="156" t="s">
        <v>97</v>
      </c>
      <c r="G33" s="156"/>
      <c r="H33" s="156" t="s">
        <v>98</v>
      </c>
      <c r="I33" s="156"/>
      <c r="J33" s="156" t="s">
        <v>99</v>
      </c>
      <c r="K33" s="156"/>
      <c r="L33" s="156" t="s">
        <v>77</v>
      </c>
      <c r="M33" s="156"/>
      <c r="N33" s="149" t="s">
        <v>38</v>
      </c>
      <c r="O33" s="149"/>
      <c r="P33" s="149"/>
      <c r="Q33" s="149"/>
      <c r="R33" s="149"/>
      <c r="S33" s="150"/>
      <c r="T33" s="164" t="s">
        <v>100</v>
      </c>
      <c r="U33" s="164"/>
      <c r="V33" s="164"/>
      <c r="W33" s="164"/>
      <c r="X33" s="164"/>
      <c r="Y33" s="164"/>
      <c r="Z33" s="164"/>
      <c r="AA33" s="164"/>
      <c r="AB33" s="150"/>
    </row>
    <row r="34" customHeight="1" spans="1:28">
      <c r="A34" s="43"/>
      <c r="B34" s="147"/>
      <c r="C34" s="147"/>
      <c r="D34" s="153">
        <f>L17</f>
        <v>0</v>
      </c>
      <c r="E34" s="153"/>
      <c r="F34" s="153" t="s">
        <v>101</v>
      </c>
      <c r="G34" s="153"/>
      <c r="H34" s="153" t="s">
        <v>101</v>
      </c>
      <c r="I34" s="153"/>
      <c r="J34" s="153" t="s">
        <v>101</v>
      </c>
      <c r="K34" s="153"/>
      <c r="L34" s="153" t="s">
        <v>102</v>
      </c>
      <c r="M34" s="153"/>
      <c r="N34" s="209" t="str">
        <f>"1D10+"&amp;(IF(H34="是",D34*2,D34)+IF(F34="是",2,0)+IF(J34="是",1,0)+IF(ISNUMBER(L34),L34,0))</f>
        <v>1D10+0</v>
      </c>
      <c r="O34" s="202"/>
      <c r="P34" s="202"/>
      <c r="Q34" s="202"/>
      <c r="R34" s="202"/>
      <c r="S34" s="150"/>
      <c r="T34" s="205" t="s">
        <v>103</v>
      </c>
      <c r="U34" s="205" t="s">
        <v>104</v>
      </c>
      <c r="V34" s="205" t="s">
        <v>105</v>
      </c>
      <c r="W34" s="214" t="s">
        <v>106</v>
      </c>
      <c r="X34" s="214" t="s">
        <v>107</v>
      </c>
      <c r="Y34" s="214"/>
      <c r="Z34" s="214"/>
      <c r="AA34" s="214"/>
      <c r="AB34" s="150"/>
    </row>
    <row r="35" customHeight="1" spans="1:28">
      <c r="A35" s="43"/>
      <c r="B35" s="187"/>
      <c r="C35" s="150"/>
      <c r="D35" s="150"/>
      <c r="E35" s="150"/>
      <c r="F35" s="150"/>
      <c r="G35" s="150"/>
      <c r="H35" s="150"/>
      <c r="I35" s="150"/>
      <c r="J35" s="150"/>
      <c r="K35" s="150"/>
      <c r="L35" s="150"/>
      <c r="M35" s="150"/>
      <c r="N35" s="150"/>
      <c r="O35" s="150"/>
      <c r="P35" s="150"/>
      <c r="Q35" s="150"/>
      <c r="R35" s="150"/>
      <c r="S35" s="150"/>
      <c r="T35" s="215">
        <v>1</v>
      </c>
      <c r="U35" s="215"/>
      <c r="V35" s="215"/>
      <c r="W35" s="216"/>
      <c r="X35" s="217" t="str">
        <f>TEXT(SUM(U$35:W35),"0")&amp;"/"</f>
        <v>0/</v>
      </c>
      <c r="Y35" s="218"/>
      <c r="Z35" s="219">
        <v>500</v>
      </c>
      <c r="AA35" s="220"/>
      <c r="AB35" s="187"/>
    </row>
    <row r="36" customHeight="1" spans="1:28">
      <c r="A36" s="43" t="str">
        <f>".st"&amp;"格斗"&amp;K13&amp;"近战"&amp;K13&amp;"射击"&amp;K14&amp;"远程"&amp;K14&amp;"力量"&amp;K15&amp;"坚韧"&amp;K16&amp;"敏捷"&amp;K17&amp;"智力"&amp;K18&amp;"感知"&amp;K19&amp;"意志"&amp;K20&amp;"交际"&amp;K21&amp;"生命值"&amp;R24&amp;"生命值上限"&amp;P24&amp;"命运点"&amp;M20&amp;"命运点上限"&amp;M15&amp;"威胁"&amp;I38&amp;"恐吓"&amp;I38&amp;"攀爬"&amp;I39&amp;"运动"&amp;I39&amp;B40&amp;I40&amp;"酗酒"&amp;I41&amp;"狂饮"&amp;I41&amp;B42&amp;I42&amp;B43&amp;I43&amp;B44&amp;I44&amp;B45&amp;I45&amp;B46&amp;I46&amp;B47&amp;I47&amp;B48&amp;I48&amp;"搜查"&amp;I49&amp;"搜索"&amp;I49&amp;B50&amp;I50&amp;B51&amp;I51&amp;B52&amp;I52&amp;B53&amp;I53&amp;B54&amp;I54&amp;B55&amp;I55&amp;B56&amp;I56&amp;B57&amp;I57&amp;A71</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6" s="147" t="s">
        <v>108</v>
      </c>
      <c r="C36" s="147"/>
      <c r="D36" s="147"/>
      <c r="E36" s="147"/>
      <c r="F36" s="147"/>
      <c r="G36" s="147"/>
      <c r="H36" s="147"/>
      <c r="I36" s="147"/>
      <c r="J36" s="147"/>
      <c r="K36" s="147"/>
      <c r="L36" s="147"/>
      <c r="M36" s="147"/>
      <c r="N36" s="147"/>
      <c r="O36" s="147"/>
      <c r="P36" s="147"/>
      <c r="Q36" s="147"/>
      <c r="R36" s="147"/>
      <c r="S36" s="150"/>
      <c r="T36" s="215">
        <v>2</v>
      </c>
      <c r="U36" s="215"/>
      <c r="V36" s="215"/>
      <c r="W36" s="216"/>
      <c r="X36" s="217" t="str">
        <f>TEXT(SUM(U$35:W36),"0")&amp;"/"</f>
        <v>0/</v>
      </c>
      <c r="Y36" s="218"/>
      <c r="Z36" s="219">
        <v>1000</v>
      </c>
      <c r="AA36" s="220"/>
      <c r="AB36" s="187"/>
    </row>
    <row r="37" customHeight="1" spans="1:28">
      <c r="A37" s="43"/>
      <c r="B37" s="221" t="s">
        <v>109</v>
      </c>
      <c r="C37" s="221"/>
      <c r="D37" s="197" t="s">
        <v>104</v>
      </c>
      <c r="E37" s="197" t="s">
        <v>110</v>
      </c>
      <c r="F37" s="197" t="s">
        <v>111</v>
      </c>
      <c r="G37" s="197" t="s">
        <v>112</v>
      </c>
      <c r="H37" s="197" t="s">
        <v>106</v>
      </c>
      <c r="I37" s="222" t="s">
        <v>113</v>
      </c>
      <c r="J37" s="197" t="s">
        <v>114</v>
      </c>
      <c r="K37" s="197"/>
      <c r="L37" s="197"/>
      <c r="M37" s="197"/>
      <c r="N37" s="197"/>
      <c r="O37" s="197"/>
      <c r="P37" s="197"/>
      <c r="Q37" s="197"/>
      <c r="R37" s="197" t="s">
        <v>36</v>
      </c>
      <c r="S37" s="150"/>
      <c r="T37" s="215">
        <v>3</v>
      </c>
      <c r="U37" s="215"/>
      <c r="V37" s="215"/>
      <c r="W37" s="216"/>
      <c r="X37" s="217" t="str">
        <f>TEXT(SUM(U$35:W37),"0")&amp;"/"</f>
        <v>0/</v>
      </c>
      <c r="Y37" s="218"/>
      <c r="Z37" s="219">
        <v>2000</v>
      </c>
      <c r="AA37" s="220"/>
      <c r="AB37" s="187"/>
    </row>
    <row r="38" customHeight="1" spans="1:28">
      <c r="A38" s="43"/>
      <c r="B38" s="223" t="s">
        <v>115</v>
      </c>
      <c r="C38" s="223"/>
      <c r="D38" s="195" t="s">
        <v>116</v>
      </c>
      <c r="E38" s="203"/>
      <c r="F38" s="203"/>
      <c r="G38" s="224"/>
      <c r="H38" s="224"/>
      <c r="I38" s="225">
        <f>IF(E38&lt;&gt;"",K15,ROUNDUP(K15/2,0))+IF(F38&lt;&gt;"",10,0)+IF(G38&lt;&gt;"",10,0)+IF(H38&lt;&gt;"",10,0)</f>
        <v>0</v>
      </c>
      <c r="J38" s="203"/>
      <c r="K38" s="203"/>
      <c r="L38" s="203"/>
      <c r="M38" s="203"/>
      <c r="N38" s="203"/>
      <c r="O38" s="203"/>
      <c r="P38" s="203"/>
      <c r="Q38" s="203"/>
      <c r="R38" s="148">
        <f t="shared" ref="R38:R57" si="2">E38+F38+G38+H38</f>
        <v>0</v>
      </c>
      <c r="S38" s="150"/>
      <c r="T38" s="215">
        <v>4</v>
      </c>
      <c r="U38" s="215"/>
      <c r="V38" s="215"/>
      <c r="W38" s="216"/>
      <c r="X38" s="217" t="str">
        <f>TEXT(SUM(U$35:W38),"0")&amp;"/"</f>
        <v>0/</v>
      </c>
      <c r="Y38" s="218"/>
      <c r="Z38" s="219">
        <v>3000</v>
      </c>
      <c r="AA38" s="220"/>
      <c r="AB38" s="187"/>
    </row>
    <row r="39" customHeight="1" spans="1:28">
      <c r="A39" s="43"/>
      <c r="B39" s="223" t="s">
        <v>117</v>
      </c>
      <c r="C39" s="223"/>
      <c r="D39" s="195" t="s">
        <v>116</v>
      </c>
      <c r="E39" s="203"/>
      <c r="F39" s="203"/>
      <c r="G39" s="224"/>
      <c r="H39" s="224"/>
      <c r="I39" s="225">
        <f>IF(E39&lt;&gt;"",K15,ROUNDUP(K15/2,0))+IF(F39&lt;&gt;"",10,0)+IF(G39&lt;&gt;"",10,0)+IF(H39&lt;&gt;"",10,0)</f>
        <v>0</v>
      </c>
      <c r="J39" s="203"/>
      <c r="K39" s="203"/>
      <c r="L39" s="203"/>
      <c r="M39" s="203"/>
      <c r="N39" s="203"/>
      <c r="O39" s="203"/>
      <c r="P39" s="203"/>
      <c r="Q39" s="203"/>
      <c r="R39" s="148">
        <f t="shared" si="2"/>
        <v>0</v>
      </c>
      <c r="S39" s="150"/>
      <c r="T39" s="215">
        <v>5</v>
      </c>
      <c r="U39" s="215"/>
      <c r="V39" s="215"/>
      <c r="W39" s="216"/>
      <c r="X39" s="217" t="str">
        <f>TEXT(SUM(U$35:W39),"0")&amp;"/"</f>
        <v>0/</v>
      </c>
      <c r="Y39" s="218"/>
      <c r="Z39" s="219">
        <v>5000</v>
      </c>
      <c r="AA39" s="220"/>
      <c r="AB39" s="187"/>
    </row>
    <row r="40" customHeight="1" spans="1:28">
      <c r="A40" s="43"/>
      <c r="B40" s="223" t="s">
        <v>118</v>
      </c>
      <c r="C40" s="223"/>
      <c r="D40" s="195" t="s">
        <v>116</v>
      </c>
      <c r="E40" s="203"/>
      <c r="F40" s="203"/>
      <c r="G40" s="224"/>
      <c r="H40" s="224"/>
      <c r="I40" s="225">
        <f>IF(E40&lt;&gt;"",K15,ROUNDUP(K15/2,0))+IF(F40&lt;&gt;"",10,0)+IF(G40&lt;&gt;"",10,0)+IF(H40&lt;&gt;"",10,0)</f>
        <v>0</v>
      </c>
      <c r="J40" s="203"/>
      <c r="K40" s="203"/>
      <c r="L40" s="203"/>
      <c r="M40" s="203"/>
      <c r="N40" s="203"/>
      <c r="O40" s="203"/>
      <c r="P40" s="203"/>
      <c r="Q40" s="203"/>
      <c r="R40" s="148">
        <f t="shared" si="2"/>
        <v>0</v>
      </c>
      <c r="S40" s="150"/>
      <c r="T40" s="215">
        <v>6</v>
      </c>
      <c r="U40" s="215"/>
      <c r="V40" s="215"/>
      <c r="W40" s="216"/>
      <c r="X40" s="217" t="str">
        <f>TEXT(SUM(U$35:W40),"0")&amp;"/"</f>
        <v>0/</v>
      </c>
      <c r="Y40" s="218"/>
      <c r="Z40" s="219">
        <v>7000</v>
      </c>
      <c r="AA40" s="220"/>
      <c r="AB40" s="187"/>
    </row>
    <row r="41" customHeight="1" spans="1:28">
      <c r="A41" s="43"/>
      <c r="B41" s="223" t="s">
        <v>119</v>
      </c>
      <c r="C41" s="223"/>
      <c r="D41" s="195" t="s">
        <v>120</v>
      </c>
      <c r="E41" s="203"/>
      <c r="F41" s="203"/>
      <c r="G41" s="203"/>
      <c r="H41" s="203"/>
      <c r="I41" s="225">
        <f>IF(E41&lt;&gt;"",K16,ROUNDUP(K16/2,0))+IF(F41&lt;&gt;"",10,0)+IF(G41&lt;&gt;"",10,0)+IF(H41&lt;&gt;"",10,0)</f>
        <v>0</v>
      </c>
      <c r="J41" s="203"/>
      <c r="K41" s="203"/>
      <c r="L41" s="203"/>
      <c r="M41" s="203"/>
      <c r="N41" s="203"/>
      <c r="O41" s="203"/>
      <c r="P41" s="203"/>
      <c r="Q41" s="203"/>
      <c r="R41" s="148">
        <f t="shared" si="2"/>
        <v>0</v>
      </c>
      <c r="S41" s="150"/>
      <c r="T41" s="215">
        <v>7</v>
      </c>
      <c r="U41" s="215"/>
      <c r="V41" s="215"/>
      <c r="W41" s="216"/>
      <c r="X41" s="217" t="str">
        <f>TEXT(SUM(U$35:W41),"0")&amp;"/"</f>
        <v>0/</v>
      </c>
      <c r="Y41" s="218"/>
      <c r="Z41" s="219">
        <v>10000</v>
      </c>
      <c r="AA41" s="220"/>
      <c r="AB41" s="187"/>
    </row>
    <row r="42" customHeight="1" spans="1:28">
      <c r="A42" s="43"/>
      <c r="B42" s="223" t="s">
        <v>121</v>
      </c>
      <c r="C42" s="223"/>
      <c r="D42" s="195" t="s">
        <v>122</v>
      </c>
      <c r="E42" s="203"/>
      <c r="F42" s="203"/>
      <c r="G42" s="203"/>
      <c r="H42" s="203"/>
      <c r="I42" s="225">
        <f>IF(E42&lt;&gt;"",K17,ROUNDUP(K17/2,0))+IF(F42&lt;&gt;"",10,0)+IF(G42&lt;&gt;"",10,0)+IF(H42&lt;&gt;"",10,0)</f>
        <v>0</v>
      </c>
      <c r="J42" s="203"/>
      <c r="K42" s="203"/>
      <c r="L42" s="203"/>
      <c r="M42" s="203"/>
      <c r="N42" s="203"/>
      <c r="O42" s="203"/>
      <c r="P42" s="203"/>
      <c r="Q42" s="203"/>
      <c r="R42" s="148">
        <f t="shared" si="2"/>
        <v>0</v>
      </c>
      <c r="S42" s="150"/>
      <c r="T42" s="215">
        <v>8</v>
      </c>
      <c r="U42" s="215"/>
      <c r="V42" s="215"/>
      <c r="W42" s="216"/>
      <c r="X42" s="217" t="str">
        <f>TEXT(SUM(U$35:W42),"0")&amp;"/"</f>
        <v>0/</v>
      </c>
      <c r="Y42" s="218"/>
      <c r="Z42" s="219">
        <v>13000</v>
      </c>
      <c r="AA42" s="220"/>
      <c r="AB42" s="187"/>
    </row>
    <row r="43" customHeight="1" spans="1:28">
      <c r="A43" s="43"/>
      <c r="B43" s="223" t="s">
        <v>123</v>
      </c>
      <c r="C43" s="223"/>
      <c r="D43" s="195" t="s">
        <v>122</v>
      </c>
      <c r="E43" s="203"/>
      <c r="F43" s="203"/>
      <c r="G43" s="203"/>
      <c r="H43" s="203"/>
      <c r="I43" s="225">
        <f>IF(E43&lt;&gt;"",K17,ROUNDUP(K17/2,0))+IF(F43&lt;&gt;"",10,0)+IF(G43&lt;&gt;"",10,0)+IF(H43&lt;&gt;"",10,0)</f>
        <v>0</v>
      </c>
      <c r="J43" s="203"/>
      <c r="K43" s="203"/>
      <c r="L43" s="203"/>
      <c r="M43" s="203"/>
      <c r="N43" s="203"/>
      <c r="O43" s="203"/>
      <c r="P43" s="203"/>
      <c r="Q43" s="203"/>
      <c r="R43" s="148">
        <f t="shared" si="2"/>
        <v>0</v>
      </c>
      <c r="S43" s="150"/>
      <c r="T43" s="215">
        <v>9</v>
      </c>
      <c r="U43" s="215"/>
      <c r="V43" s="215"/>
      <c r="W43" s="216"/>
      <c r="X43" s="217" t="str">
        <f>TEXT(SUM(U$35:W43),"0")&amp;"/"</f>
        <v>0/</v>
      </c>
      <c r="Y43" s="218"/>
      <c r="Z43" s="219">
        <v>17000</v>
      </c>
      <c r="AA43" s="220"/>
      <c r="AB43" s="187"/>
    </row>
    <row r="44" customHeight="1" spans="1:28">
      <c r="A44" s="43"/>
      <c r="B44" s="223" t="s">
        <v>124</v>
      </c>
      <c r="C44" s="223"/>
      <c r="D44" s="195" t="s">
        <v>122</v>
      </c>
      <c r="E44" s="203"/>
      <c r="F44" s="203"/>
      <c r="G44" s="203"/>
      <c r="H44" s="203"/>
      <c r="I44" s="225">
        <f>IF(E44&lt;&gt;"",K17,ROUNDUP(K17/2,0))+IF(F44&lt;&gt;"",10,0)+IF(G44&lt;&gt;"",10,0)+IF(H44&lt;&gt;"",10,0)</f>
        <v>0</v>
      </c>
      <c r="J44" s="203"/>
      <c r="K44" s="203"/>
      <c r="L44" s="203"/>
      <c r="M44" s="203"/>
      <c r="N44" s="203"/>
      <c r="O44" s="203"/>
      <c r="P44" s="203"/>
      <c r="Q44" s="203"/>
      <c r="R44" s="148">
        <f t="shared" si="2"/>
        <v>0</v>
      </c>
      <c r="S44" s="150"/>
      <c r="T44" s="215">
        <v>10</v>
      </c>
      <c r="U44" s="215"/>
      <c r="V44" s="215"/>
      <c r="W44" s="216"/>
      <c r="X44" s="217" t="str">
        <f>TEXT(SUM(U$35:W44),"0")&amp;"/"</f>
        <v>0/</v>
      </c>
      <c r="Y44" s="218"/>
      <c r="Z44" s="219">
        <v>21000</v>
      </c>
      <c r="AA44" s="220"/>
      <c r="AB44" s="187"/>
    </row>
    <row r="45" customHeight="1" spans="1:28">
      <c r="A45" s="43"/>
      <c r="B45" s="223" t="s">
        <v>125</v>
      </c>
      <c r="C45" s="223"/>
      <c r="D45" s="195" t="s">
        <v>126</v>
      </c>
      <c r="E45" s="203"/>
      <c r="F45" s="203"/>
      <c r="G45" s="203"/>
      <c r="H45" s="203"/>
      <c r="I45" s="225">
        <f>IF(E45&lt;&gt;"",K18,ROUNDUP(K18/2,0))+IF(F45&lt;&gt;"",10,0)+IF(G45&lt;&gt;"",10,0)+IF(H45&lt;&gt;"",10,0)</f>
        <v>0</v>
      </c>
      <c r="J45" s="203"/>
      <c r="K45" s="203"/>
      <c r="L45" s="203"/>
      <c r="M45" s="203"/>
      <c r="N45" s="203"/>
      <c r="O45" s="203"/>
      <c r="P45" s="203"/>
      <c r="Q45" s="203"/>
      <c r="R45" s="148">
        <f t="shared" si="2"/>
        <v>0</v>
      </c>
      <c r="S45" s="150"/>
      <c r="T45" s="215">
        <v>11</v>
      </c>
      <c r="U45" s="215"/>
      <c r="V45" s="215"/>
      <c r="W45" s="216"/>
      <c r="X45" s="217" t="str">
        <f>TEXT(SUM(U$35:W45),"0")&amp;"/"</f>
        <v>0/</v>
      </c>
      <c r="Y45" s="218"/>
      <c r="Z45" s="219">
        <v>25000</v>
      </c>
      <c r="AA45" s="220"/>
      <c r="AB45" s="187"/>
    </row>
    <row r="46" customHeight="1" spans="1:28">
      <c r="A46" s="43"/>
      <c r="B46" s="223" t="s">
        <v>127</v>
      </c>
      <c r="C46" s="223"/>
      <c r="D46" s="195" t="s">
        <v>126</v>
      </c>
      <c r="E46" s="203"/>
      <c r="F46" s="203"/>
      <c r="G46" s="203"/>
      <c r="H46" s="203"/>
      <c r="I46" s="225">
        <f>IF(E46&lt;&gt;"",K18,ROUNDUP(K18/2,0))+IF(F46&lt;&gt;"",10,0)+IF(G46&lt;&gt;"",10,0)+IF(H46&lt;&gt;"",10,0)</f>
        <v>0</v>
      </c>
      <c r="J46" s="203"/>
      <c r="K46" s="203"/>
      <c r="L46" s="203"/>
      <c r="M46" s="203"/>
      <c r="N46" s="203"/>
      <c r="O46" s="203"/>
      <c r="P46" s="203"/>
      <c r="Q46" s="203"/>
      <c r="R46" s="148">
        <f t="shared" si="2"/>
        <v>0</v>
      </c>
      <c r="S46" s="150"/>
      <c r="T46" s="215">
        <v>12</v>
      </c>
      <c r="U46" s="215"/>
      <c r="V46" s="215"/>
      <c r="W46" s="216"/>
      <c r="X46" s="217" t="str">
        <f>TEXT(SUM(U$35:W46),"0")&amp;"/"</f>
        <v>0/</v>
      </c>
      <c r="Y46" s="218"/>
      <c r="Z46" s="219">
        <v>30000</v>
      </c>
      <c r="AA46" s="220"/>
      <c r="AB46" s="187"/>
    </row>
    <row r="47" customHeight="1" spans="1:28">
      <c r="A47" s="43"/>
      <c r="B47" s="223" t="s">
        <v>128</v>
      </c>
      <c r="C47" s="223"/>
      <c r="D47" s="195" t="s">
        <v>126</v>
      </c>
      <c r="E47" s="203"/>
      <c r="F47" s="203"/>
      <c r="G47" s="203"/>
      <c r="H47" s="203"/>
      <c r="I47" s="225">
        <f>IF(E47&lt;&gt;"",K18,ROUNDUP(K18/2,0))+IF(F47&lt;&gt;"",10,0)+IF(G47&lt;&gt;"",10,0)+IF(H47&lt;&gt;"",10,0)</f>
        <v>0</v>
      </c>
      <c r="J47" s="203"/>
      <c r="K47" s="203"/>
      <c r="L47" s="203"/>
      <c r="M47" s="203"/>
      <c r="N47" s="203"/>
      <c r="O47" s="203"/>
      <c r="P47" s="203"/>
      <c r="Q47" s="203"/>
      <c r="R47" s="148">
        <f t="shared" si="2"/>
        <v>0</v>
      </c>
      <c r="S47" s="150"/>
      <c r="T47" s="215">
        <v>13</v>
      </c>
      <c r="U47" s="215"/>
      <c r="V47" s="215"/>
      <c r="W47" s="216"/>
      <c r="X47" s="217" t="str">
        <f>TEXT(SUM(U$35:W47),"0")&amp;"/"</f>
        <v>0/</v>
      </c>
      <c r="Y47" s="218"/>
      <c r="Z47" s="219">
        <v>35000</v>
      </c>
      <c r="AA47" s="220"/>
      <c r="AB47" s="187"/>
    </row>
    <row r="48" customHeight="1" spans="1:28">
      <c r="A48" s="43"/>
      <c r="B48" s="223" t="s">
        <v>129</v>
      </c>
      <c r="C48" s="223"/>
      <c r="D48" s="195" t="s">
        <v>130</v>
      </c>
      <c r="E48" s="203"/>
      <c r="F48" s="203"/>
      <c r="G48" s="203"/>
      <c r="H48" s="203"/>
      <c r="I48" s="225">
        <f>IF(E48&lt;&gt;"",K19,ROUNDUP(K19/2,0))+IF(F48&lt;&gt;"",10,0)+IF(G48&lt;&gt;"",10,0)+IF(H48&lt;&gt;"",10,0)</f>
        <v>0</v>
      </c>
      <c r="J48" s="203"/>
      <c r="K48" s="203"/>
      <c r="L48" s="203"/>
      <c r="M48" s="203"/>
      <c r="N48" s="203"/>
      <c r="O48" s="203"/>
      <c r="P48" s="203"/>
      <c r="Q48" s="203"/>
      <c r="R48" s="148">
        <f t="shared" si="2"/>
        <v>0</v>
      </c>
      <c r="S48" s="150"/>
      <c r="T48" s="215">
        <v>14</v>
      </c>
      <c r="U48" s="215"/>
      <c r="V48" s="215"/>
      <c r="W48" s="216"/>
      <c r="X48" s="217" t="str">
        <f>TEXT(SUM(U$35:W48),"0")&amp;"/"</f>
        <v>0/</v>
      </c>
      <c r="Y48" s="218"/>
      <c r="Z48" s="219">
        <v>40000</v>
      </c>
      <c r="AA48" s="220"/>
      <c r="AB48" s="187"/>
    </row>
    <row r="49" customHeight="1" spans="1:68">
      <c r="A49" s="43"/>
      <c r="B49" s="226" t="s">
        <v>131</v>
      </c>
      <c r="C49" s="226"/>
      <c r="D49" s="195" t="s">
        <v>130</v>
      </c>
      <c r="E49" s="203"/>
      <c r="F49" s="203"/>
      <c r="G49" s="203"/>
      <c r="H49" s="203"/>
      <c r="I49" s="225">
        <f>IF(E49&lt;&gt;"",K19,ROUNDUP(K19/2,0))+IF(F49&lt;&gt;"",10,0)+IF(G49&lt;&gt;"",10,0)+IF(H49&lt;&gt;"",10,0)</f>
        <v>0</v>
      </c>
      <c r="J49" s="203"/>
      <c r="K49" s="203"/>
      <c r="L49" s="203"/>
      <c r="M49" s="203"/>
      <c r="N49" s="203"/>
      <c r="O49" s="203"/>
      <c r="P49" s="203"/>
      <c r="Q49" s="203"/>
      <c r="R49" s="148">
        <f t="shared" si="2"/>
        <v>0</v>
      </c>
      <c r="S49" s="150"/>
      <c r="T49" s="215">
        <v>15</v>
      </c>
      <c r="U49" s="215"/>
      <c r="V49" s="215"/>
      <c r="W49" s="216"/>
      <c r="X49" s="217" t="str">
        <f>TEXT(SUM(U$35:W49),"0")&amp;"/"</f>
        <v>0/</v>
      </c>
      <c r="Y49" s="218"/>
      <c r="Z49" s="219">
        <v>45000</v>
      </c>
      <c r="AA49" s="220"/>
      <c r="AB49" s="187"/>
    </row>
    <row r="50" customHeight="1" spans="1:68">
      <c r="A50" s="43"/>
      <c r="B50" s="223" t="s">
        <v>132</v>
      </c>
      <c r="C50" s="223"/>
      <c r="D50" s="195" t="s">
        <v>130</v>
      </c>
      <c r="E50" s="203"/>
      <c r="F50" s="203"/>
      <c r="G50" s="203"/>
      <c r="H50" s="203"/>
      <c r="I50" s="225">
        <f>IF(E50&lt;&gt;"",K19,ROUNDUP(K19/2,0))+IF(F50&lt;&gt;"",10,0)+IF(G50&lt;&gt;"",10,0)+IF(H50&lt;&gt;"",10,0)</f>
        <v>0</v>
      </c>
      <c r="J50" s="203"/>
      <c r="K50" s="203"/>
      <c r="L50" s="203"/>
      <c r="M50" s="203"/>
      <c r="N50" s="203"/>
      <c r="O50" s="203"/>
      <c r="P50" s="203"/>
      <c r="Q50" s="203"/>
      <c r="R50" s="148">
        <f t="shared" si="2"/>
        <v>0</v>
      </c>
      <c r="S50" s="150"/>
      <c r="T50" s="215">
        <v>16</v>
      </c>
      <c r="U50" s="215"/>
      <c r="V50" s="215"/>
      <c r="W50" s="216"/>
      <c r="X50" s="217" t="str">
        <f>TEXT(SUM(U$35:W50),"0")&amp;"/"</f>
        <v>0/</v>
      </c>
      <c r="Y50" s="218"/>
      <c r="Z50" s="219">
        <v>50000</v>
      </c>
      <c r="AA50" s="220"/>
      <c r="AB50" s="187"/>
      <c r="AW50" s="227"/>
      <c r="AX50" s="227"/>
      <c r="AY50" s="227"/>
      <c r="AZ50" s="227"/>
      <c r="BA50" s="227"/>
      <c r="BB50" s="227"/>
      <c r="BC50" s="227"/>
      <c r="BD50" s="227"/>
      <c r="BE50" s="227"/>
      <c r="BF50" s="227"/>
      <c r="BG50" s="227"/>
      <c r="BH50" s="227"/>
      <c r="BI50" s="227"/>
      <c r="BJ50" s="227"/>
      <c r="BK50" s="227"/>
      <c r="BL50" s="227"/>
      <c r="BM50" s="227"/>
      <c r="BN50" s="227"/>
      <c r="BO50" s="227"/>
    </row>
    <row r="51" customHeight="1" spans="1:68">
      <c r="A51" s="43"/>
      <c r="B51" s="223" t="s">
        <v>133</v>
      </c>
      <c r="C51" s="223"/>
      <c r="D51" s="195" t="s">
        <v>134</v>
      </c>
      <c r="E51" s="203"/>
      <c r="F51" s="203"/>
      <c r="G51" s="203"/>
      <c r="H51" s="203"/>
      <c r="I51" s="225">
        <f>IF(E51&lt;&gt;"",K21,ROUNDUP(K21/2,0))+IF(F51&lt;&gt;"",10,0)+IF(G51&lt;&gt;"",10,0)+IF(H51&lt;&gt;"",10,0)</f>
        <v>0</v>
      </c>
      <c r="J51" s="203"/>
      <c r="K51" s="203"/>
      <c r="L51" s="203"/>
      <c r="M51" s="203"/>
      <c r="N51" s="203"/>
      <c r="O51" s="203"/>
      <c r="P51" s="203"/>
      <c r="Q51" s="203"/>
      <c r="R51" s="148">
        <f t="shared" si="2"/>
        <v>0</v>
      </c>
      <c r="S51" s="150"/>
      <c r="T51" s="164" t="s">
        <v>135</v>
      </c>
      <c r="U51" s="164"/>
      <c r="V51" s="164"/>
      <c r="W51" s="164"/>
      <c r="X51" s="228"/>
      <c r="Y51" s="228"/>
      <c r="Z51" s="228"/>
      <c r="AA51" s="228"/>
      <c r="AB51" s="150"/>
      <c r="AW51" s="227"/>
      <c r="AX51" s="227"/>
      <c r="AY51" s="227"/>
      <c r="AZ51" s="227"/>
      <c r="BA51" s="227"/>
      <c r="BB51" s="227"/>
      <c r="BC51" s="227"/>
      <c r="BD51" s="227"/>
      <c r="BE51" s="227"/>
      <c r="BF51" s="227"/>
      <c r="BG51" s="227"/>
      <c r="BH51" s="227"/>
      <c r="BI51" s="227"/>
      <c r="BJ51" s="227"/>
      <c r="BK51" s="227"/>
      <c r="BL51" s="227"/>
      <c r="BM51" s="227"/>
      <c r="BN51" s="227"/>
      <c r="BO51" s="227"/>
      <c r="BP51" s="227"/>
    </row>
    <row r="52" customHeight="1" spans="1:68">
      <c r="A52" s="43"/>
      <c r="B52" s="223" t="s">
        <v>136</v>
      </c>
      <c r="C52" s="223"/>
      <c r="D52" s="195" t="s">
        <v>134</v>
      </c>
      <c r="E52" s="203"/>
      <c r="F52" s="203"/>
      <c r="G52" s="203"/>
      <c r="H52" s="203"/>
      <c r="I52" s="225">
        <f>IF(E52&lt;&gt;"",K21,ROUNDUP(K21/2,0))+IF(F52&lt;&gt;"",10,0)+IF(G52&lt;&gt;"",10,0)+IF(H52&lt;&gt;"",10,0)</f>
        <v>0</v>
      </c>
      <c r="J52" s="203"/>
      <c r="K52" s="203"/>
      <c r="L52" s="203"/>
      <c r="M52" s="203"/>
      <c r="N52" s="203"/>
      <c r="O52" s="203"/>
      <c r="P52" s="203"/>
      <c r="Q52" s="203"/>
      <c r="R52" s="148">
        <f t="shared" si="2"/>
        <v>0</v>
      </c>
      <c r="S52" s="150"/>
      <c r="T52" s="209" t="s">
        <v>31</v>
      </c>
      <c r="U52" s="209"/>
      <c r="V52" s="229"/>
      <c r="W52" s="229"/>
      <c r="X52" s="229"/>
      <c r="Y52" s="229"/>
      <c r="Z52" s="229"/>
      <c r="AA52" s="229"/>
      <c r="AB52" s="150"/>
      <c r="AW52" s="227"/>
      <c r="AX52" s="227"/>
      <c r="AY52" s="227"/>
      <c r="AZ52" s="227"/>
      <c r="BA52" s="227"/>
      <c r="BB52" s="227"/>
      <c r="BC52" s="227"/>
      <c r="BD52" s="227"/>
      <c r="BE52" s="227"/>
      <c r="BF52" s="227"/>
      <c r="BG52" s="227"/>
      <c r="BH52" s="227"/>
      <c r="BI52" s="227"/>
      <c r="BJ52" s="227"/>
      <c r="BK52" s="227"/>
      <c r="BL52" s="227"/>
      <c r="BM52" s="227"/>
      <c r="BN52" s="227"/>
      <c r="BO52" s="227"/>
      <c r="BP52" s="227"/>
    </row>
    <row r="53" customHeight="1" spans="1:68">
      <c r="A53" s="43"/>
      <c r="B53" s="223" t="s">
        <v>137</v>
      </c>
      <c r="C53" s="223"/>
      <c r="D53" s="195" t="s">
        <v>134</v>
      </c>
      <c r="E53" s="203"/>
      <c r="F53" s="203"/>
      <c r="G53" s="203"/>
      <c r="H53" s="203"/>
      <c r="I53" s="225">
        <f>IF(E53&lt;&gt;"",K21,ROUNDUP(K21/2,0))+IF(F53&lt;&gt;"",10,0)+IF(G53&lt;&gt;"",10,0)+IF(H53&lt;&gt;"",10,0)</f>
        <v>0</v>
      </c>
      <c r="J53" s="203"/>
      <c r="K53" s="203"/>
      <c r="L53" s="203"/>
      <c r="M53" s="203"/>
      <c r="N53" s="203"/>
      <c r="O53" s="203"/>
      <c r="P53" s="203"/>
      <c r="Q53" s="203"/>
      <c r="R53" s="148">
        <f t="shared" si="2"/>
        <v>0</v>
      </c>
      <c r="S53" s="150"/>
      <c r="T53" s="209" t="s">
        <v>138</v>
      </c>
      <c r="U53" s="209"/>
      <c r="V53" s="229"/>
      <c r="W53" s="229"/>
      <c r="X53" s="229"/>
      <c r="Y53" s="229"/>
      <c r="Z53" s="229"/>
      <c r="AA53" s="229"/>
      <c r="AB53" s="150"/>
      <c r="AW53" s="227"/>
      <c r="AX53" s="227"/>
      <c r="AY53" s="227"/>
      <c r="AZ53" s="227"/>
      <c r="BA53" s="227"/>
      <c r="BB53" s="227"/>
      <c r="BC53" s="227"/>
      <c r="BD53" s="227"/>
      <c r="BE53" s="227"/>
      <c r="BF53" s="227"/>
      <c r="BG53" s="227"/>
      <c r="BH53" s="227"/>
      <c r="BI53" s="227"/>
      <c r="BJ53" s="227"/>
      <c r="BK53" s="227"/>
      <c r="BL53" s="227"/>
      <c r="BM53" s="227"/>
      <c r="BN53" s="227"/>
      <c r="BO53" s="227"/>
      <c r="BP53" s="227"/>
    </row>
    <row r="54" customHeight="1" spans="1:68">
      <c r="A54" s="43"/>
      <c r="B54" s="223" t="s">
        <v>139</v>
      </c>
      <c r="C54" s="223"/>
      <c r="D54" s="195" t="s">
        <v>134</v>
      </c>
      <c r="E54" s="203"/>
      <c r="F54" s="203"/>
      <c r="G54" s="203"/>
      <c r="H54" s="203"/>
      <c r="I54" s="225">
        <f>IF(E54&lt;&gt;"",K21,ROUNDUP(K21/2,0))+IF(F54&lt;&gt;"",10,0)+IF(G54&lt;&gt;"",10,0)+IF(H54&lt;&gt;"",10,0)</f>
        <v>0</v>
      </c>
      <c r="J54" s="203"/>
      <c r="K54" s="203"/>
      <c r="L54" s="203"/>
      <c r="M54" s="203"/>
      <c r="N54" s="203"/>
      <c r="O54" s="203"/>
      <c r="P54" s="203"/>
      <c r="Q54" s="203"/>
      <c r="R54" s="148">
        <f t="shared" si="2"/>
        <v>0</v>
      </c>
      <c r="S54" s="150"/>
      <c r="T54" s="209" t="s">
        <v>140</v>
      </c>
      <c r="U54" s="209"/>
      <c r="V54" s="229"/>
      <c r="W54" s="229"/>
      <c r="X54" s="229"/>
      <c r="Y54" s="229"/>
      <c r="Z54" s="229"/>
      <c r="AA54" s="229"/>
      <c r="AB54" s="150"/>
      <c r="AD54" s="230"/>
      <c r="AE54" s="230"/>
      <c r="AF54" s="230"/>
      <c r="AG54" s="230"/>
      <c r="AH54" s="230"/>
      <c r="AI54" s="230"/>
      <c r="AJ54" s="230"/>
      <c r="AK54" s="230"/>
      <c r="AL54" s="230"/>
      <c r="AM54" s="230"/>
      <c r="AN54" s="230"/>
      <c r="AO54" s="230"/>
      <c r="AP54" s="230"/>
      <c r="AQ54" s="230"/>
      <c r="AR54" s="230"/>
      <c r="AS54" s="230"/>
      <c r="AT54" s="230"/>
      <c r="AU54" s="230"/>
      <c r="AV54" s="230"/>
      <c r="AW54" s="230"/>
      <c r="AX54" s="230"/>
      <c r="AY54" s="230"/>
      <c r="AZ54" s="227"/>
      <c r="BA54" s="227"/>
      <c r="BB54" s="227"/>
      <c r="BC54" s="227"/>
      <c r="BD54" s="227"/>
      <c r="BE54" s="227"/>
      <c r="BF54" s="227"/>
      <c r="BG54" s="227"/>
      <c r="BH54" s="227"/>
      <c r="BI54" s="227"/>
      <c r="BJ54" s="227"/>
      <c r="BK54" s="227"/>
      <c r="BL54" s="227"/>
      <c r="BM54" s="227"/>
      <c r="BN54" s="227"/>
      <c r="BO54" s="227"/>
      <c r="BP54" s="227"/>
    </row>
    <row r="55" customHeight="1" spans="1:68">
      <c r="A55" s="43"/>
      <c r="B55" s="223" t="s">
        <v>141</v>
      </c>
      <c r="C55" s="223"/>
      <c r="D55" s="195" t="s">
        <v>134</v>
      </c>
      <c r="E55" s="203"/>
      <c r="F55" s="203"/>
      <c r="G55" s="203"/>
      <c r="H55" s="203"/>
      <c r="I55" s="225">
        <f>IF(E55&lt;&gt;"",K21,ROUNDUP(K21/2,0))+IF(F55&lt;&gt;"",10,0)+IF(G55&lt;&gt;"",10,0)+IF(H55&lt;&gt;"",10,0)</f>
        <v>0</v>
      </c>
      <c r="J55" s="203"/>
      <c r="K55" s="203"/>
      <c r="L55" s="203"/>
      <c r="M55" s="203"/>
      <c r="N55" s="203"/>
      <c r="O55" s="203"/>
      <c r="P55" s="203"/>
      <c r="Q55" s="203"/>
      <c r="R55" s="148">
        <f t="shared" si="2"/>
        <v>0</v>
      </c>
      <c r="S55" s="150"/>
      <c r="T55" s="209" t="s">
        <v>142</v>
      </c>
      <c r="U55" s="209"/>
      <c r="V55" s="229"/>
      <c r="W55" s="229"/>
      <c r="X55" s="229"/>
      <c r="Y55" s="229"/>
      <c r="Z55" s="229"/>
      <c r="AA55" s="229"/>
      <c r="AB55" s="150"/>
      <c r="AD55" s="230"/>
      <c r="AE55" s="230"/>
      <c r="AF55" s="230"/>
      <c r="AG55" s="230"/>
      <c r="AH55" s="230"/>
      <c r="AI55" s="230"/>
      <c r="AJ55" s="230"/>
      <c r="AK55" s="230"/>
      <c r="AL55" s="230"/>
      <c r="AM55" s="230"/>
      <c r="AN55" s="230"/>
      <c r="AO55" s="230"/>
      <c r="AP55" s="230"/>
      <c r="AQ55" s="230"/>
      <c r="AR55" s="230"/>
      <c r="AS55" s="230"/>
      <c r="AT55" s="230"/>
      <c r="AU55" s="230"/>
      <c r="AV55" s="230"/>
      <c r="AW55" s="230"/>
      <c r="AX55" s="230"/>
      <c r="AY55" s="230"/>
      <c r="AZ55" s="227"/>
      <c r="BA55" s="227"/>
      <c r="BB55" s="227"/>
      <c r="BC55" s="227"/>
      <c r="BD55" s="227"/>
      <c r="BE55" s="227"/>
      <c r="BF55" s="227"/>
      <c r="BG55" s="227"/>
      <c r="BH55" s="227"/>
      <c r="BI55" s="227"/>
      <c r="BJ55" s="227"/>
      <c r="BK55" s="227"/>
      <c r="BL55" s="227"/>
      <c r="BM55" s="227"/>
      <c r="BN55" s="227"/>
      <c r="BO55" s="227"/>
      <c r="BP55" s="227"/>
    </row>
    <row r="56" customHeight="1" spans="1:68">
      <c r="A56" s="43"/>
      <c r="B56" s="223" t="s">
        <v>143</v>
      </c>
      <c r="C56" s="223"/>
      <c r="D56" s="195" t="s">
        <v>134</v>
      </c>
      <c r="E56" s="203"/>
      <c r="F56" s="203"/>
      <c r="G56" s="203"/>
      <c r="H56" s="203"/>
      <c r="I56" s="225">
        <f>IF(E56&lt;&gt;"",K21,ROUNDUP(K21/2,0))+IF(F56&lt;&gt;"",10,0)+IF(G56&lt;&gt;"",10,0)+IF(H56&lt;&gt;"",10,0)</f>
        <v>0</v>
      </c>
      <c r="J56" s="203"/>
      <c r="K56" s="203"/>
      <c r="L56" s="203"/>
      <c r="M56" s="203"/>
      <c r="N56" s="203"/>
      <c r="O56" s="203"/>
      <c r="P56" s="203"/>
      <c r="Q56" s="203"/>
      <c r="R56" s="148">
        <f t="shared" si="2"/>
        <v>0</v>
      </c>
      <c r="S56" s="150"/>
      <c r="T56" s="209" t="s">
        <v>144</v>
      </c>
      <c r="U56" s="209"/>
      <c r="V56" s="229"/>
      <c r="W56" s="229"/>
      <c r="X56" s="229"/>
      <c r="Y56" s="229"/>
      <c r="Z56" s="229"/>
      <c r="AA56" s="229"/>
      <c r="AB56" s="15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27"/>
      <c r="BA56" s="227"/>
      <c r="BB56" s="227"/>
      <c r="BC56" s="227"/>
      <c r="BD56" s="227"/>
      <c r="BE56" s="227"/>
      <c r="BF56" s="227"/>
      <c r="BG56" s="227"/>
      <c r="BH56" s="227"/>
      <c r="BI56" s="227"/>
      <c r="BJ56" s="227"/>
      <c r="BK56" s="227"/>
      <c r="BL56" s="227"/>
      <c r="BM56" s="227"/>
      <c r="BN56" s="227"/>
      <c r="BO56" s="227"/>
      <c r="BP56" s="227"/>
    </row>
    <row r="57" customHeight="1" spans="1:68">
      <c r="A57" s="43"/>
      <c r="B57" s="223" t="s">
        <v>145</v>
      </c>
      <c r="C57" s="223"/>
      <c r="D57" s="195" t="s">
        <v>134</v>
      </c>
      <c r="E57" s="203"/>
      <c r="F57" s="203"/>
      <c r="G57" s="203"/>
      <c r="H57" s="203"/>
      <c r="I57" s="225">
        <f>IF(E57&lt;&gt;"",K21,ROUNDUP(K21/2,0))+IF(F57&lt;&gt;"",10,0)+IF(G57&lt;&gt;"",10,0)+IF(H57&lt;&gt;"",10,0)</f>
        <v>0</v>
      </c>
      <c r="J57" s="203"/>
      <c r="K57" s="203"/>
      <c r="L57" s="203"/>
      <c r="M57" s="203"/>
      <c r="N57" s="203"/>
      <c r="O57" s="203"/>
      <c r="P57" s="203"/>
      <c r="Q57" s="203"/>
      <c r="R57" s="148">
        <f t="shared" si="2"/>
        <v>0</v>
      </c>
      <c r="S57" s="150"/>
      <c r="T57" s="209" t="s">
        <v>77</v>
      </c>
      <c r="U57" s="209"/>
      <c r="V57" s="229"/>
      <c r="W57" s="229"/>
      <c r="X57" s="229"/>
      <c r="Y57" s="229"/>
      <c r="Z57" s="229"/>
      <c r="AA57" s="229"/>
      <c r="AB57" s="150"/>
      <c r="AD57" s="230"/>
      <c r="AE57" s="230"/>
      <c r="AF57" s="230"/>
      <c r="AG57" s="230"/>
      <c r="AH57" s="230"/>
      <c r="AI57" s="230"/>
      <c r="AJ57" s="230"/>
      <c r="AK57" s="230"/>
      <c r="AL57" s="230"/>
      <c r="AM57" s="230"/>
      <c r="AN57" s="230"/>
      <c r="AO57" s="230"/>
      <c r="AP57" s="230"/>
      <c r="AQ57" s="230"/>
      <c r="AR57" s="230"/>
      <c r="AS57" s="230"/>
      <c r="AT57" s="230"/>
      <c r="AU57" s="230"/>
      <c r="AV57" s="230"/>
      <c r="AW57" s="230"/>
      <c r="AX57" s="230"/>
      <c r="AY57" s="230"/>
      <c r="AZ57" s="227"/>
      <c r="BA57" s="227"/>
      <c r="BB57" s="227"/>
      <c r="BC57" s="227"/>
      <c r="BD57" s="227"/>
      <c r="BE57" s="227"/>
      <c r="BF57" s="227"/>
      <c r="BG57" s="227"/>
      <c r="BH57" s="227"/>
      <c r="BI57" s="227"/>
      <c r="BJ57" s="227"/>
      <c r="BK57" s="227"/>
      <c r="BL57" s="227"/>
      <c r="BM57" s="227"/>
      <c r="BN57" s="227"/>
      <c r="BO57" s="227"/>
      <c r="BP57" s="227"/>
    </row>
    <row r="58" customHeight="1" spans="1:68">
      <c r="A58" s="43"/>
      <c r="B58" s="43"/>
      <c r="C58" s="43"/>
      <c r="D58" s="43"/>
      <c r="E58" s="43"/>
      <c r="F58" s="43"/>
      <c r="G58" s="43"/>
      <c r="H58" s="43"/>
      <c r="I58" s="43"/>
      <c r="J58" s="43"/>
      <c r="K58" s="43"/>
      <c r="L58" s="43"/>
      <c r="M58" s="43"/>
      <c r="N58" s="43"/>
      <c r="O58" s="43"/>
      <c r="P58" s="43"/>
      <c r="Q58" s="43"/>
      <c r="R58" s="231">
        <f>SUM(R38:R57)</f>
        <v>0</v>
      </c>
      <c r="S58" s="150"/>
      <c r="T58" s="150"/>
      <c r="U58" s="150"/>
      <c r="V58" s="150"/>
      <c r="W58" s="150"/>
      <c r="X58" s="150"/>
      <c r="Y58" s="150"/>
      <c r="Z58" s="150"/>
      <c r="AA58" s="160"/>
      <c r="AB58" s="150"/>
      <c r="AD58" s="230"/>
      <c r="AE58" s="230"/>
      <c r="AF58" s="230"/>
      <c r="AG58" s="230"/>
      <c r="AH58" s="230"/>
      <c r="AI58" s="230"/>
      <c r="AJ58" s="230"/>
      <c r="AK58" s="230"/>
      <c r="AL58" s="230"/>
      <c r="AM58" s="230"/>
      <c r="AN58" s="230"/>
      <c r="AO58" s="230"/>
      <c r="AP58" s="230"/>
      <c r="AQ58" s="230"/>
      <c r="AR58" s="230"/>
      <c r="AS58" s="230"/>
      <c r="AT58" s="230"/>
      <c r="AU58" s="230"/>
      <c r="AV58" s="230"/>
      <c r="AW58" s="230"/>
      <c r="AX58" s="230"/>
      <c r="AY58" s="230"/>
      <c r="AZ58" s="227"/>
      <c r="BA58" s="227"/>
      <c r="BB58" s="227"/>
      <c r="BC58" s="227"/>
      <c r="BD58" s="227"/>
      <c r="BE58" s="227"/>
      <c r="BF58" s="227"/>
      <c r="BG58" s="227"/>
      <c r="BH58" s="227"/>
      <c r="BI58" s="227"/>
      <c r="BJ58" s="227"/>
      <c r="BK58" s="227"/>
      <c r="BL58" s="227"/>
      <c r="BM58" s="227"/>
      <c r="BN58" s="227"/>
      <c r="BO58" s="227"/>
      <c r="BP58" s="227"/>
    </row>
    <row r="59" customHeight="1" spans="1:68">
      <c r="A59" s="43"/>
      <c r="B59" s="163" t="s">
        <v>146</v>
      </c>
      <c r="C59" s="163"/>
      <c r="D59" s="163"/>
      <c r="E59" s="163"/>
      <c r="F59" s="163"/>
      <c r="G59" s="163"/>
      <c r="H59" s="163"/>
      <c r="I59" s="163"/>
      <c r="J59" s="163"/>
      <c r="K59" s="163"/>
      <c r="L59" s="163"/>
      <c r="M59" s="163"/>
      <c r="N59" s="163"/>
      <c r="O59" s="163"/>
      <c r="P59" s="163"/>
      <c r="Q59" s="163"/>
      <c r="R59" s="163"/>
      <c r="S59" s="150"/>
      <c r="T59" s="232" t="s">
        <v>147</v>
      </c>
      <c r="U59" s="233"/>
      <c r="V59" s="233"/>
      <c r="W59" s="233"/>
      <c r="X59" s="233"/>
      <c r="Y59" s="233"/>
      <c r="Z59" s="233"/>
      <c r="AA59" s="233"/>
      <c r="AB59" s="150"/>
      <c r="AD59" s="230"/>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27"/>
      <c r="BA59" s="227"/>
      <c r="BB59" s="227"/>
      <c r="BC59" s="227"/>
      <c r="BD59" s="227"/>
      <c r="BE59" s="227"/>
      <c r="BF59" s="227"/>
      <c r="BG59" s="227"/>
      <c r="BH59" s="227"/>
      <c r="BI59" s="227"/>
      <c r="BJ59" s="227"/>
      <c r="BK59" s="227"/>
      <c r="BL59" s="227"/>
      <c r="BM59" s="227"/>
      <c r="BN59" s="227"/>
      <c r="BO59" s="227"/>
      <c r="BP59" s="227"/>
    </row>
    <row r="60" customHeight="1" spans="1:68">
      <c r="A60" s="234"/>
      <c r="B60" s="235" t="s">
        <v>109</v>
      </c>
      <c r="C60" s="205"/>
      <c r="D60" s="205"/>
      <c r="E60" s="205"/>
      <c r="F60" s="205" t="s">
        <v>148</v>
      </c>
      <c r="G60" s="205"/>
      <c r="H60" s="205"/>
      <c r="I60" s="205" t="s">
        <v>149</v>
      </c>
      <c r="J60" s="205"/>
      <c r="K60" s="205"/>
      <c r="L60" s="236" t="s">
        <v>150</v>
      </c>
      <c r="M60" s="201"/>
      <c r="N60" s="236" t="s">
        <v>151</v>
      </c>
      <c r="O60" s="237"/>
      <c r="P60" s="205" t="s">
        <v>152</v>
      </c>
      <c r="Q60" s="205"/>
      <c r="R60" s="205"/>
      <c r="S60" s="160"/>
      <c r="T60" s="238" t="s">
        <v>153</v>
      </c>
      <c r="U60" s="238"/>
      <c r="V60" s="239"/>
      <c r="W60" s="239"/>
      <c r="X60" s="239"/>
      <c r="Y60" s="239"/>
      <c r="Z60" s="239"/>
      <c r="AA60" s="239"/>
      <c r="AB60" s="187"/>
      <c r="AD60" s="230"/>
      <c r="AE60" s="230"/>
      <c r="AF60" s="230"/>
      <c r="AG60" s="230"/>
      <c r="AH60" s="230"/>
      <c r="AI60" s="230"/>
      <c r="AJ60" s="230"/>
      <c r="AK60" s="230"/>
      <c r="AL60" s="230"/>
      <c r="AM60" s="230"/>
      <c r="AN60" s="230"/>
      <c r="AO60" s="230"/>
      <c r="AP60" s="230"/>
      <c r="AQ60" s="230"/>
      <c r="AR60" s="230"/>
      <c r="AS60" s="230"/>
      <c r="AT60" s="230"/>
      <c r="AU60" s="230"/>
      <c r="AV60" s="230"/>
      <c r="AW60" s="230"/>
      <c r="AX60" s="230"/>
      <c r="AY60" s="230"/>
      <c r="AZ60" s="227"/>
      <c r="BA60" s="227"/>
      <c r="BB60" s="227"/>
      <c r="BC60" s="227"/>
      <c r="BD60" s="227"/>
      <c r="BE60" s="227"/>
      <c r="BF60" s="227"/>
      <c r="BG60" s="227"/>
      <c r="BH60" s="227"/>
      <c r="BI60" s="227"/>
      <c r="BJ60" s="227"/>
      <c r="BK60" s="227"/>
      <c r="BL60" s="227"/>
      <c r="BM60" s="227"/>
      <c r="BN60" s="227"/>
      <c r="BO60" s="227"/>
      <c r="BP60" s="227"/>
    </row>
    <row r="61" customHeight="1" spans="1:68">
      <c r="A61" s="234"/>
      <c r="B61" s="240"/>
      <c r="C61" s="240"/>
      <c r="D61" s="240"/>
      <c r="E61" s="241"/>
      <c r="F61" s="242"/>
      <c r="G61" s="240"/>
      <c r="H61" s="241"/>
      <c r="I61" s="243"/>
      <c r="J61" s="244"/>
      <c r="K61" s="245"/>
      <c r="L61" s="246"/>
      <c r="M61" s="246"/>
      <c r="N61" s="246"/>
      <c r="O61" s="246"/>
      <c r="P61" s="153"/>
      <c r="Q61" s="153"/>
      <c r="R61" s="153"/>
      <c r="S61" s="160"/>
      <c r="T61" s="247"/>
      <c r="U61" s="247"/>
      <c r="V61" s="248"/>
      <c r="W61" s="248"/>
      <c r="X61" s="248"/>
      <c r="Y61" s="248"/>
      <c r="Z61" s="248"/>
      <c r="AA61" s="248"/>
      <c r="AB61" s="187"/>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27"/>
      <c r="BA61" s="227"/>
      <c r="BB61" s="227"/>
      <c r="BC61" s="227"/>
      <c r="BD61" s="227"/>
      <c r="BE61" s="227"/>
      <c r="BF61" s="227"/>
      <c r="BG61" s="227"/>
      <c r="BH61" s="227"/>
      <c r="BI61" s="227"/>
      <c r="BJ61" s="227"/>
      <c r="BK61" s="227"/>
      <c r="BL61" s="227"/>
      <c r="BM61" s="227"/>
      <c r="BN61" s="227"/>
      <c r="BO61" s="227"/>
      <c r="BP61" s="227"/>
    </row>
    <row r="62" customHeight="1" spans="1:68">
      <c r="A62" s="234"/>
      <c r="B62" s="240"/>
      <c r="C62" s="240"/>
      <c r="D62" s="240"/>
      <c r="E62" s="241"/>
      <c r="F62" s="242"/>
      <c r="G62" s="240"/>
      <c r="H62" s="241"/>
      <c r="I62" s="243"/>
      <c r="J62" s="244"/>
      <c r="K62" s="245"/>
      <c r="L62" s="246"/>
      <c r="M62" s="246"/>
      <c r="N62" s="246"/>
      <c r="O62" s="246"/>
      <c r="P62" s="153"/>
      <c r="Q62" s="153"/>
      <c r="R62" s="153"/>
      <c r="S62" s="150"/>
      <c r="T62" s="238" t="s">
        <v>154</v>
      </c>
      <c r="U62" s="238"/>
      <c r="V62" s="239"/>
      <c r="W62" s="239"/>
      <c r="X62" s="239"/>
      <c r="Y62" s="239"/>
      <c r="Z62" s="239"/>
      <c r="AA62" s="239"/>
      <c r="AB62" s="150"/>
      <c r="AD62" s="230"/>
      <c r="AE62" s="230"/>
      <c r="AF62" s="230"/>
      <c r="AG62" s="230"/>
      <c r="AH62" s="230"/>
      <c r="AI62" s="230"/>
      <c r="AJ62" s="230"/>
      <c r="AK62" s="230"/>
      <c r="AL62" s="230"/>
      <c r="AM62" s="230"/>
      <c r="AN62" s="230"/>
      <c r="AO62" s="230"/>
      <c r="AP62" s="230"/>
      <c r="AQ62" s="230"/>
      <c r="AR62" s="230"/>
      <c r="AS62" s="230"/>
      <c r="AT62" s="230"/>
      <c r="AU62" s="230"/>
      <c r="AV62" s="230"/>
      <c r="AW62" s="230"/>
      <c r="AX62" s="230"/>
      <c r="AY62" s="230"/>
      <c r="AZ62" s="227"/>
      <c r="BA62" s="227"/>
      <c r="BB62" s="227"/>
      <c r="BC62" s="227"/>
      <c r="BD62" s="227"/>
      <c r="BE62" s="227"/>
      <c r="BF62" s="227"/>
      <c r="BG62" s="227"/>
      <c r="BH62" s="227"/>
      <c r="BI62" s="227"/>
      <c r="BJ62" s="227"/>
      <c r="BK62" s="227"/>
      <c r="BL62" s="227"/>
      <c r="BM62" s="227"/>
      <c r="BN62" s="227"/>
      <c r="BO62" s="227"/>
      <c r="BP62" s="227"/>
    </row>
    <row r="63" customHeight="1" spans="1:68">
      <c r="A63" s="249"/>
      <c r="B63" s="147" t="s">
        <v>155</v>
      </c>
      <c r="C63" s="147"/>
      <c r="D63" s="147"/>
      <c r="E63" s="147"/>
      <c r="F63" s="147"/>
      <c r="G63" s="147"/>
      <c r="H63" s="147"/>
      <c r="I63" s="147"/>
      <c r="J63" s="147"/>
      <c r="K63" s="147"/>
      <c r="L63" s="147"/>
      <c r="M63" s="147"/>
      <c r="N63" s="147"/>
      <c r="O63" s="147"/>
      <c r="P63" s="147"/>
      <c r="Q63" s="147"/>
      <c r="R63" s="147"/>
      <c r="S63" s="250"/>
      <c r="T63" s="247"/>
      <c r="U63" s="247"/>
      <c r="V63" s="248"/>
      <c r="W63" s="248"/>
      <c r="X63" s="248"/>
      <c r="Y63" s="248"/>
      <c r="Z63" s="248"/>
      <c r="AA63" s="248"/>
      <c r="AB63" s="251"/>
      <c r="AD63" s="230"/>
      <c r="AE63" s="230"/>
      <c r="AF63" s="230"/>
      <c r="AG63" s="230"/>
      <c r="AH63" s="230"/>
      <c r="AI63" s="230"/>
      <c r="AJ63" s="230"/>
      <c r="AK63" s="230"/>
      <c r="AL63" s="230"/>
      <c r="AM63" s="230"/>
      <c r="AN63" s="230"/>
      <c r="AO63" s="230"/>
      <c r="AP63" s="230"/>
      <c r="AQ63" s="230"/>
      <c r="AR63" s="230"/>
      <c r="AS63" s="230"/>
      <c r="AT63" s="230"/>
      <c r="AU63" s="230"/>
      <c r="AV63" s="230"/>
      <c r="AW63" s="230"/>
      <c r="AX63" s="230"/>
      <c r="AY63" s="230"/>
      <c r="AZ63" s="227"/>
      <c r="BA63" s="227"/>
      <c r="BB63" s="227"/>
      <c r="BC63" s="227"/>
      <c r="BD63" s="227"/>
      <c r="BE63" s="227"/>
      <c r="BF63" s="227"/>
      <c r="BG63" s="227"/>
      <c r="BH63" s="227"/>
      <c r="BI63" s="227"/>
      <c r="BJ63" s="227"/>
      <c r="BK63" s="227"/>
      <c r="BL63" s="227"/>
      <c r="BM63" s="227"/>
      <c r="BN63" s="227"/>
      <c r="BO63" s="227"/>
      <c r="BP63" s="227"/>
    </row>
    <row r="64" customHeight="1" spans="1:68">
      <c r="A64" s="252"/>
      <c r="B64" s="205" t="s">
        <v>109</v>
      </c>
      <c r="C64" s="205"/>
      <c r="D64" s="205"/>
      <c r="E64" s="205"/>
      <c r="F64" s="205" t="s">
        <v>156</v>
      </c>
      <c r="G64" s="205"/>
      <c r="H64" s="205"/>
      <c r="I64" s="205"/>
      <c r="J64" s="205"/>
      <c r="K64" s="205"/>
      <c r="L64" s="205"/>
      <c r="M64" s="205"/>
      <c r="N64" s="205"/>
      <c r="O64" s="205"/>
      <c r="P64" s="205"/>
      <c r="Q64" s="205"/>
      <c r="R64" s="205"/>
      <c r="S64" s="252"/>
      <c r="T64" s="238" t="s">
        <v>157</v>
      </c>
      <c r="U64" s="238"/>
      <c r="V64" s="239"/>
      <c r="W64" s="239"/>
      <c r="X64" s="239"/>
      <c r="Y64" s="239"/>
      <c r="Z64" s="239"/>
      <c r="AA64" s="239"/>
      <c r="AB64" s="252"/>
      <c r="AD64" s="230"/>
      <c r="AE64" s="230"/>
      <c r="AF64" s="230"/>
      <c r="AG64" s="230"/>
      <c r="AH64" s="230"/>
      <c r="AI64" s="230"/>
      <c r="AJ64" s="230"/>
      <c r="AK64" s="230"/>
      <c r="AL64" s="230"/>
      <c r="AM64" s="230"/>
      <c r="AN64" s="230"/>
      <c r="AO64" s="230"/>
      <c r="AP64" s="230"/>
      <c r="AQ64" s="230"/>
      <c r="AR64" s="230"/>
      <c r="AS64" s="230"/>
      <c r="AT64" s="230"/>
      <c r="AU64" s="230"/>
      <c r="AV64" s="230"/>
      <c r="AW64" s="230"/>
      <c r="AX64" s="230"/>
      <c r="AY64" s="230"/>
      <c r="AZ64" s="227"/>
      <c r="BA64" s="227"/>
      <c r="BB64" s="227"/>
      <c r="BC64" s="227"/>
      <c r="BD64" s="227"/>
      <c r="BE64" s="227"/>
      <c r="BF64" s="227"/>
      <c r="BG64" s="227"/>
      <c r="BH64" s="227"/>
      <c r="BI64" s="227"/>
      <c r="BJ64" s="227"/>
      <c r="BK64" s="227"/>
      <c r="BL64" s="227"/>
      <c r="BM64" s="227"/>
      <c r="BN64" s="227"/>
      <c r="BO64" s="227"/>
      <c r="BP64" s="227"/>
    </row>
    <row r="65" customHeight="1" spans="1:68">
      <c r="A65" s="252"/>
      <c r="B65" s="153"/>
      <c r="C65" s="153"/>
      <c r="D65" s="153"/>
      <c r="E65" s="153"/>
      <c r="F65" s="153"/>
      <c r="G65" s="153"/>
      <c r="H65" s="153"/>
      <c r="I65" s="153"/>
      <c r="J65" s="153"/>
      <c r="K65" s="153"/>
      <c r="L65" s="153"/>
      <c r="M65" s="153"/>
      <c r="N65" s="153"/>
      <c r="O65" s="153"/>
      <c r="P65" s="153"/>
      <c r="Q65" s="153"/>
      <c r="R65" s="153"/>
      <c r="S65" s="252"/>
      <c r="T65" s="247"/>
      <c r="U65" s="247"/>
      <c r="V65" s="248"/>
      <c r="W65" s="248"/>
      <c r="X65" s="248"/>
      <c r="Y65" s="248"/>
      <c r="Z65" s="248"/>
      <c r="AA65" s="248"/>
      <c r="AB65" s="252"/>
      <c r="AD65" s="230"/>
      <c r="AE65" s="230"/>
      <c r="AF65" s="230"/>
      <c r="AG65" s="230"/>
      <c r="AH65" s="230"/>
      <c r="AI65" s="230"/>
      <c r="AJ65" s="230"/>
      <c r="AK65" s="230"/>
      <c r="AL65" s="230"/>
      <c r="AM65" s="230"/>
      <c r="AN65" s="230"/>
      <c r="AO65" s="230"/>
      <c r="AP65" s="230"/>
      <c r="AQ65" s="230"/>
      <c r="AR65" s="230"/>
      <c r="AS65" s="230"/>
      <c r="AT65" s="230"/>
      <c r="AU65" s="230"/>
      <c r="AV65" s="230"/>
      <c r="AW65" s="230"/>
      <c r="AX65" s="230"/>
      <c r="AY65" s="230"/>
      <c r="AZ65" s="227"/>
      <c r="BA65" s="227"/>
      <c r="BB65" s="227"/>
      <c r="BC65" s="227"/>
      <c r="BD65" s="227"/>
      <c r="BE65" s="227"/>
      <c r="BF65" s="227"/>
      <c r="BG65" s="227"/>
      <c r="BH65" s="227"/>
      <c r="BI65" s="227"/>
      <c r="BJ65" s="227"/>
      <c r="BK65" s="227"/>
      <c r="BL65" s="227"/>
      <c r="BM65" s="227"/>
      <c r="BN65" s="227"/>
      <c r="BO65" s="227"/>
      <c r="BP65" s="227"/>
    </row>
    <row r="66" customHeight="1" spans="1:68">
      <c r="A66" s="252"/>
      <c r="B66" s="153"/>
      <c r="C66" s="153"/>
      <c r="D66" s="153"/>
      <c r="E66" s="153"/>
      <c r="F66" s="153"/>
      <c r="G66" s="153"/>
      <c r="H66" s="153"/>
      <c r="I66" s="153"/>
      <c r="J66" s="153"/>
      <c r="K66" s="153"/>
      <c r="L66" s="153"/>
      <c r="M66" s="153"/>
      <c r="N66" s="153"/>
      <c r="O66" s="153"/>
      <c r="P66" s="153"/>
      <c r="Q66" s="153"/>
      <c r="R66" s="153"/>
      <c r="S66" s="252"/>
      <c r="T66" s="238" t="s">
        <v>158</v>
      </c>
      <c r="U66" s="238"/>
      <c r="V66" s="239"/>
      <c r="W66" s="239"/>
      <c r="X66" s="239"/>
      <c r="Y66" s="239"/>
      <c r="Z66" s="239"/>
      <c r="AA66" s="239"/>
      <c r="AB66" s="252"/>
      <c r="AD66" s="230"/>
      <c r="AE66" s="230"/>
      <c r="AF66" s="230"/>
      <c r="AG66" s="230"/>
      <c r="AH66" s="230"/>
      <c r="AI66" s="230"/>
      <c r="AJ66" s="230"/>
      <c r="AK66" s="230"/>
      <c r="AL66" s="230"/>
      <c r="AM66" s="230"/>
      <c r="AN66" s="230"/>
      <c r="AO66" s="230"/>
      <c r="AP66" s="230"/>
      <c r="AQ66" s="230"/>
      <c r="AR66" s="230"/>
      <c r="AS66" s="230"/>
      <c r="AT66" s="230"/>
      <c r="AU66" s="230"/>
      <c r="AV66" s="230"/>
      <c r="AW66" s="230"/>
      <c r="AX66" s="230"/>
      <c r="AY66" s="230"/>
      <c r="AZ66" s="227"/>
      <c r="BA66" s="227"/>
      <c r="BB66" s="227"/>
      <c r="BC66" s="227"/>
      <c r="BD66" s="227"/>
      <c r="BE66" s="227"/>
      <c r="BF66" s="227"/>
      <c r="BG66" s="227"/>
      <c r="BH66" s="227"/>
      <c r="BI66" s="227"/>
      <c r="BJ66" s="227"/>
      <c r="BK66" s="227"/>
      <c r="BL66" s="227"/>
      <c r="BM66" s="227"/>
      <c r="BN66" s="227"/>
      <c r="BO66" s="227"/>
      <c r="BP66" s="227"/>
    </row>
    <row r="67" customHeight="1" spans="1:68">
      <c r="A67" s="252"/>
      <c r="B67" s="153"/>
      <c r="C67" s="153"/>
      <c r="D67" s="153"/>
      <c r="E67" s="153"/>
      <c r="F67" s="153"/>
      <c r="G67" s="153"/>
      <c r="H67" s="153"/>
      <c r="I67" s="153"/>
      <c r="J67" s="153"/>
      <c r="K67" s="153"/>
      <c r="L67" s="153"/>
      <c r="M67" s="153"/>
      <c r="N67" s="153"/>
      <c r="O67" s="153"/>
      <c r="P67" s="153"/>
      <c r="Q67" s="153"/>
      <c r="R67" s="153"/>
      <c r="S67" s="252"/>
      <c r="T67" s="247"/>
      <c r="U67" s="247"/>
      <c r="V67" s="248"/>
      <c r="W67" s="248"/>
      <c r="X67" s="248"/>
      <c r="Y67" s="248"/>
      <c r="Z67" s="248"/>
      <c r="AA67" s="248"/>
      <c r="AB67" s="252"/>
      <c r="AD67" s="230"/>
      <c r="AE67" s="230"/>
      <c r="AF67" s="230"/>
      <c r="AG67" s="230"/>
      <c r="AH67" s="230"/>
      <c r="AI67" s="230"/>
      <c r="AJ67" s="230"/>
      <c r="AK67" s="230"/>
      <c r="AL67" s="230"/>
      <c r="AM67" s="230"/>
      <c r="AN67" s="230"/>
      <c r="AO67" s="230"/>
      <c r="AP67" s="230"/>
      <c r="AQ67" s="230"/>
      <c r="AR67" s="230"/>
      <c r="AS67" s="230"/>
      <c r="AT67" s="230"/>
      <c r="AU67" s="230"/>
      <c r="AV67" s="230"/>
      <c r="AW67" s="230"/>
      <c r="AX67" s="230"/>
      <c r="AY67" s="230"/>
      <c r="AZ67" s="227"/>
      <c r="BA67" s="227"/>
      <c r="BB67" s="227"/>
      <c r="BC67" s="227"/>
      <c r="BD67" s="227"/>
      <c r="BE67" s="227"/>
      <c r="BF67" s="227"/>
      <c r="BG67" s="227"/>
      <c r="BH67" s="227"/>
      <c r="BI67" s="227"/>
      <c r="BJ67" s="227"/>
      <c r="BK67" s="227"/>
      <c r="BL67" s="227"/>
      <c r="BM67" s="227"/>
      <c r="BN67" s="227"/>
      <c r="BO67" s="227"/>
      <c r="BP67" s="227"/>
    </row>
    <row r="68" customHeight="1" spans="1:68">
      <c r="A68" s="252"/>
      <c r="B68" s="153"/>
      <c r="C68" s="153"/>
      <c r="D68" s="153"/>
      <c r="E68" s="153"/>
      <c r="F68" s="153"/>
      <c r="G68" s="153"/>
      <c r="H68" s="153"/>
      <c r="I68" s="153"/>
      <c r="J68" s="153"/>
      <c r="K68" s="153"/>
      <c r="L68" s="153"/>
      <c r="M68" s="153"/>
      <c r="N68" s="153"/>
      <c r="O68" s="153"/>
      <c r="P68" s="153"/>
      <c r="Q68" s="153"/>
      <c r="R68" s="153"/>
      <c r="S68" s="252"/>
      <c r="T68" s="238" t="s">
        <v>77</v>
      </c>
      <c r="U68" s="238"/>
      <c r="V68" s="239"/>
      <c r="W68" s="239"/>
      <c r="X68" s="239"/>
      <c r="Y68" s="239"/>
      <c r="Z68" s="239"/>
      <c r="AA68" s="239"/>
      <c r="AB68" s="252"/>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27"/>
      <c r="BA68" s="227"/>
      <c r="BB68" s="227"/>
      <c r="BC68" s="227"/>
      <c r="BD68" s="227"/>
      <c r="BE68" s="227"/>
      <c r="BF68" s="227"/>
      <c r="BG68" s="227"/>
      <c r="BH68" s="227"/>
      <c r="BI68" s="227"/>
      <c r="BJ68" s="227"/>
      <c r="BK68" s="227"/>
      <c r="BL68" s="227"/>
      <c r="BM68" s="227"/>
      <c r="BN68" s="227"/>
      <c r="BO68" s="227"/>
      <c r="BP68" s="227"/>
    </row>
    <row r="69" customHeight="1" spans="1:68">
      <c r="A69" s="252"/>
      <c r="B69" s="153"/>
      <c r="C69" s="153"/>
      <c r="D69" s="153"/>
      <c r="E69" s="153"/>
      <c r="F69" s="153"/>
      <c r="G69" s="153"/>
      <c r="H69" s="153"/>
      <c r="I69" s="153"/>
      <c r="J69" s="153"/>
      <c r="K69" s="153"/>
      <c r="L69" s="153"/>
      <c r="M69" s="153"/>
      <c r="N69" s="153"/>
      <c r="O69" s="153"/>
      <c r="P69" s="153"/>
      <c r="Q69" s="153"/>
      <c r="R69" s="153"/>
      <c r="S69" s="252"/>
      <c r="T69" s="247"/>
      <c r="U69" s="247"/>
      <c r="V69" s="248"/>
      <c r="W69" s="248"/>
      <c r="X69" s="248"/>
      <c r="Y69" s="248"/>
      <c r="Z69" s="248"/>
      <c r="AA69" s="248"/>
      <c r="AB69" s="252"/>
      <c r="AD69" s="230"/>
      <c r="AE69" s="230"/>
      <c r="AF69" s="230"/>
      <c r="AG69" s="230"/>
      <c r="AH69" s="230"/>
      <c r="AI69" s="230"/>
      <c r="AJ69" s="230"/>
      <c r="AK69" s="230"/>
      <c r="AL69" s="230"/>
      <c r="AM69" s="230"/>
      <c r="AN69" s="230"/>
      <c r="AO69" s="230"/>
      <c r="AP69" s="230"/>
      <c r="AQ69" s="230"/>
      <c r="AR69" s="230"/>
      <c r="AS69" s="230"/>
      <c r="AT69" s="230"/>
      <c r="AU69" s="230"/>
      <c r="AV69" s="230"/>
      <c r="AW69" s="230"/>
      <c r="AX69" s="230"/>
      <c r="AY69" s="230"/>
      <c r="AZ69" s="227"/>
      <c r="BA69" s="227"/>
      <c r="BB69" s="227"/>
      <c r="BC69" s="227"/>
      <c r="BD69" s="227"/>
      <c r="BE69" s="227"/>
      <c r="BF69" s="227"/>
      <c r="BG69" s="227"/>
      <c r="BH69" s="227"/>
      <c r="BI69" s="227"/>
      <c r="BJ69" s="227"/>
      <c r="BK69" s="227"/>
      <c r="BL69" s="227"/>
      <c r="BM69" s="227"/>
      <c r="BN69" s="227"/>
      <c r="BO69" s="227"/>
      <c r="BP69" s="227"/>
    </row>
    <row r="70" customHeight="1" spans="1:68">
      <c r="A70" s="234"/>
      <c r="B70" s="187"/>
      <c r="C70" s="150"/>
      <c r="D70" s="150"/>
      <c r="E70" s="150"/>
      <c r="F70" s="150"/>
      <c r="G70" s="150"/>
      <c r="H70" s="150"/>
      <c r="I70" s="150"/>
      <c r="J70" s="150"/>
      <c r="K70" s="150"/>
      <c r="L70" s="150"/>
      <c r="M70" s="150"/>
      <c r="N70" s="150"/>
      <c r="O70" s="150"/>
      <c r="P70" s="150"/>
      <c r="Q70" s="150"/>
      <c r="R70" s="160"/>
      <c r="S70" s="249"/>
      <c r="T70" s="187"/>
      <c r="U70" s="150"/>
      <c r="V70" s="150"/>
      <c r="W70" s="150"/>
      <c r="X70" s="150"/>
      <c r="Y70" s="150"/>
      <c r="Z70" s="150"/>
      <c r="AA70" s="160"/>
      <c r="AB70" s="251"/>
      <c r="AD70" s="230"/>
      <c r="AE70" s="230"/>
      <c r="AF70" s="230"/>
      <c r="AG70" s="230"/>
      <c r="AH70" s="230"/>
      <c r="AI70" s="230"/>
      <c r="AJ70" s="230"/>
      <c r="AK70" s="230"/>
      <c r="AL70" s="230"/>
      <c r="AM70" s="230"/>
      <c r="AN70" s="230"/>
      <c r="AO70" s="230"/>
      <c r="AP70" s="230"/>
      <c r="AQ70" s="230"/>
      <c r="AR70" s="230"/>
      <c r="AS70" s="230"/>
      <c r="AT70" s="230"/>
      <c r="AU70" s="230"/>
      <c r="AV70" s="230"/>
      <c r="AW70" s="230"/>
      <c r="AX70" s="230"/>
      <c r="AY70" s="230"/>
      <c r="AZ70" s="227"/>
      <c r="BA70" s="227"/>
      <c r="BB70" s="227"/>
      <c r="BC70" s="227"/>
      <c r="BD70" s="227"/>
      <c r="BE70" s="227"/>
      <c r="BF70" s="227"/>
      <c r="BG70" s="227"/>
      <c r="BH70" s="227"/>
      <c r="BI70" s="227"/>
      <c r="BJ70" s="227"/>
      <c r="BK70" s="227"/>
      <c r="BL70" s="227"/>
      <c r="BM70" s="227"/>
      <c r="BN70" s="227"/>
      <c r="BO70" s="227"/>
      <c r="BP70" s="227"/>
    </row>
    <row r="71" customHeight="1" spans="1:68">
      <c r="A71" s="234" t="str" cm="1">
        <f t="array" ref="A71">IFERROR(_xlfn.TEXTJOIN("",TRUE,_xlfn._xlws.FILTER(B73:B98&amp;ROUNDUP(K73:K98,0),B73:B98&lt;&gt;"")),"")</f>
        <v/>
      </c>
      <c r="B71" s="147" t="s">
        <v>159</v>
      </c>
      <c r="C71" s="149"/>
      <c r="D71" s="149"/>
      <c r="E71" s="149"/>
      <c r="F71" s="149"/>
      <c r="G71" s="149"/>
      <c r="H71" s="149"/>
      <c r="I71" s="149"/>
      <c r="J71" s="149"/>
      <c r="K71" s="149"/>
      <c r="L71" s="149"/>
      <c r="M71" s="149"/>
      <c r="N71" s="149"/>
      <c r="O71" s="149"/>
      <c r="P71" s="149"/>
      <c r="Q71" s="149"/>
      <c r="R71" s="164"/>
      <c r="S71" s="234"/>
      <c r="T71" s="253" t="s">
        <v>160</v>
      </c>
      <c r="U71" s="253"/>
      <c r="V71" s="253"/>
      <c r="W71" s="253"/>
      <c r="X71" s="253"/>
      <c r="Y71" s="253"/>
      <c r="Z71" s="253"/>
      <c r="AA71" s="253"/>
      <c r="AB71" s="150"/>
      <c r="AC71" s="227"/>
      <c r="AD71" s="230"/>
      <c r="AE71" s="230"/>
      <c r="AF71" s="230"/>
      <c r="AG71" s="230"/>
      <c r="AH71" s="230"/>
      <c r="AI71" s="230"/>
      <c r="AJ71" s="230"/>
      <c r="AK71" s="230"/>
      <c r="AL71" s="230"/>
      <c r="AM71" s="230"/>
      <c r="AN71" s="230"/>
      <c r="AO71" s="230"/>
      <c r="AP71" s="230"/>
      <c r="AQ71" s="230"/>
      <c r="AR71" s="230"/>
      <c r="AS71" s="230"/>
      <c r="AT71" s="230"/>
      <c r="AU71" s="230"/>
      <c r="AV71" s="230"/>
      <c r="AW71" s="230"/>
      <c r="AX71" s="230"/>
      <c r="AY71" s="230"/>
      <c r="AZ71" s="227"/>
      <c r="BA71" s="227"/>
      <c r="BB71" s="227"/>
      <c r="BC71" s="227"/>
      <c r="BD71" s="227"/>
      <c r="BE71" s="227"/>
      <c r="BF71" s="227"/>
      <c r="BG71" s="227"/>
      <c r="BH71" s="227"/>
      <c r="BI71" s="227"/>
      <c r="BJ71" s="227"/>
      <c r="BK71" s="227"/>
      <c r="BL71" s="227"/>
      <c r="BM71" s="227"/>
      <c r="BN71" s="227"/>
      <c r="BO71" s="227"/>
      <c r="BP71" s="227"/>
    </row>
    <row r="72" customHeight="1" spans="1:68">
      <c r="A72" s="234"/>
      <c r="B72" s="254" t="s">
        <v>109</v>
      </c>
      <c r="C72" s="255"/>
      <c r="D72" s="255"/>
      <c r="E72" s="255"/>
      <c r="F72" s="197" t="s">
        <v>104</v>
      </c>
      <c r="G72" s="197" t="s">
        <v>110</v>
      </c>
      <c r="H72" s="197" t="s">
        <v>111</v>
      </c>
      <c r="I72" s="197" t="s">
        <v>112</v>
      </c>
      <c r="J72" s="197" t="s">
        <v>106</v>
      </c>
      <c r="K72" s="222" t="s">
        <v>113</v>
      </c>
      <c r="L72" s="197" t="s">
        <v>114</v>
      </c>
      <c r="M72" s="197"/>
      <c r="N72" s="197"/>
      <c r="O72" s="197"/>
      <c r="P72" s="197"/>
      <c r="Q72" s="197"/>
      <c r="R72" s="256" t="s">
        <v>36</v>
      </c>
      <c r="S72" s="234"/>
      <c r="T72" s="257" t="s">
        <v>5</v>
      </c>
      <c r="U72" s="258"/>
      <c r="V72" s="258"/>
      <c r="W72" s="258"/>
      <c r="X72" s="258"/>
      <c r="Y72" s="258"/>
      <c r="Z72" s="258"/>
      <c r="AA72" s="259"/>
      <c r="AB72" s="150"/>
      <c r="AC72" s="227"/>
      <c r="AD72" s="230"/>
      <c r="AE72" s="230"/>
      <c r="AF72" s="230"/>
      <c r="AG72" s="230"/>
      <c r="AH72" s="230"/>
      <c r="AI72" s="230"/>
      <c r="AJ72" s="230"/>
      <c r="AK72" s="230"/>
      <c r="AL72" s="230"/>
      <c r="AM72" s="230"/>
      <c r="AN72" s="230"/>
      <c r="AO72" s="230"/>
      <c r="AP72" s="230"/>
      <c r="AQ72" s="230"/>
      <c r="AR72" s="230"/>
      <c r="AS72" s="230"/>
      <c r="AT72" s="230"/>
      <c r="AU72" s="230"/>
      <c r="AV72" s="230"/>
      <c r="AW72" s="230"/>
      <c r="AX72" s="230"/>
      <c r="AY72" s="230"/>
      <c r="AZ72" s="227"/>
      <c r="BA72" s="227"/>
      <c r="BB72" s="227"/>
      <c r="BC72" s="227"/>
      <c r="BD72" s="227"/>
      <c r="BE72" s="227"/>
      <c r="BF72" s="227"/>
      <c r="BG72" s="227"/>
      <c r="BH72" s="227"/>
      <c r="BI72" s="227"/>
      <c r="BJ72" s="227"/>
      <c r="BK72" s="227"/>
      <c r="BL72" s="227"/>
      <c r="BM72" s="227"/>
      <c r="BN72" s="227"/>
      <c r="BO72" s="227"/>
      <c r="BP72" s="227"/>
    </row>
    <row r="73" customHeight="1" spans="1:68">
      <c r="A73" s="234"/>
      <c r="B73" s="260"/>
      <c r="C73" s="261"/>
      <c r="D73" s="261"/>
      <c r="E73" s="261"/>
      <c r="F73" s="202" t="s">
        <v>161</v>
      </c>
      <c r="G73" s="203"/>
      <c r="H73" s="203"/>
      <c r="I73" s="203"/>
      <c r="J73" s="203"/>
      <c r="K73" s="262">
        <f t="array" ref="K73">IF(F73="S",IF(G73&lt;&gt;"",$K$15,$K$15/2),)+IF(F73="T",IF(G73&lt;&gt;"",$K$16,$K$16/2),)+IF(F73="Ag",IF(G73&lt;&gt;"",$K$17,$K$17/2),)+IF(F73="Int",IF(G73&lt;&gt;"",$K$18,_xlfn.ANCHORARRAY($K$18)/2),)+IF(F73="Per",IF(G73&lt;&gt;"",$K$19,$K$19/2),)+IF(F73="WP",IF(G73&lt;&gt;"",$K$20,_xlfn.ANCHORARRAY($K$20)/2),)+IF(F73="Fel",IF(G73&lt;&gt;"",$K$21,$K$21/2),)+IF(H73&lt;&gt;"",10,0)+IF(I73&lt;&gt;"",10,0)+IF(J73&lt;&gt;"",10,0)</f>
        <v>0</v>
      </c>
      <c r="L73" s="203"/>
      <c r="M73" s="203"/>
      <c r="N73" s="203"/>
      <c r="O73" s="203"/>
      <c r="P73" s="203"/>
      <c r="Q73" s="203"/>
      <c r="R73" s="263">
        <f t="shared" ref="R73:R98" si="3">G73+H73+I73+J73</f>
        <v>0</v>
      </c>
      <c r="S73" s="234"/>
      <c r="T73" s="264"/>
      <c r="U73" s="265"/>
      <c r="V73" s="265"/>
      <c r="W73" s="265"/>
      <c r="X73" s="265"/>
      <c r="Y73" s="265"/>
      <c r="Z73" s="265"/>
      <c r="AA73" s="266"/>
      <c r="AB73" s="150"/>
      <c r="AC73" s="227"/>
      <c r="AD73" s="230"/>
      <c r="AE73" s="230"/>
      <c r="AF73" s="230"/>
      <c r="AG73" s="230"/>
      <c r="AH73" s="230"/>
      <c r="AI73" s="230"/>
      <c r="AJ73" s="230"/>
      <c r="AK73" s="230"/>
      <c r="AL73" s="230"/>
      <c r="AM73" s="230"/>
      <c r="AN73" s="230"/>
      <c r="AO73" s="230"/>
      <c r="AP73" s="230"/>
      <c r="AQ73" s="230"/>
      <c r="AR73" s="230"/>
      <c r="AS73" s="230"/>
      <c r="AT73" s="230"/>
      <c r="AU73" s="230"/>
      <c r="AV73" s="230"/>
      <c r="AW73" s="230"/>
      <c r="AX73" s="230"/>
      <c r="AY73" s="230"/>
      <c r="AZ73" s="227"/>
      <c r="BA73" s="227"/>
      <c r="BB73" s="227"/>
      <c r="BC73" s="227"/>
      <c r="BD73" s="227"/>
      <c r="BE73" s="227"/>
      <c r="BF73" s="227"/>
      <c r="BG73" s="227"/>
      <c r="BH73" s="227"/>
      <c r="BI73" s="227"/>
      <c r="BJ73" s="227"/>
      <c r="BK73" s="227"/>
      <c r="BL73" s="227"/>
      <c r="BM73" s="227"/>
      <c r="BN73" s="227"/>
      <c r="BO73" s="227"/>
      <c r="BP73" s="227"/>
    </row>
    <row r="74" customHeight="1" spans="1:68">
      <c r="A74" s="234"/>
      <c r="B74" s="260"/>
      <c r="C74" s="261"/>
      <c r="D74" s="261"/>
      <c r="E74" s="261"/>
      <c r="F74" s="202" t="s">
        <v>161</v>
      </c>
      <c r="G74" s="203"/>
      <c r="H74" s="203"/>
      <c r="I74" s="203"/>
      <c r="J74" s="203"/>
      <c r="K74" s="262">
        <f t="array" ref="K74">IF(F74="S",IF(G74&lt;&gt;"",$K$15,$K$15/2),)+IF(F74="T",IF(G74&lt;&gt;"",$K$16,$K$16/2),)+IF(F74="Ag",IF(G74&lt;&gt;"",$K$17,$K$17/2),)+IF(F74="Int",IF(G74&lt;&gt;"",$K$18,_xlfn.ANCHORARRAY($K$18)/2),)+IF(F74="Per",IF(G74&lt;&gt;"",$K$19,$K$19/2),)+IF(F74="WP",IF(G74&lt;&gt;"",$K$20,_xlfn.ANCHORARRAY($K$20)/2),)+IF(F74="Fel",IF(G74&lt;&gt;"",$K$21,$K$21/2),)+IF(H74&lt;&gt;"",10,0)+IF(I74&lt;&gt;"",10,0)+IF(J74&lt;&gt;"",10,0)</f>
        <v>0</v>
      </c>
      <c r="L74" s="203"/>
      <c r="M74" s="203"/>
      <c r="N74" s="203"/>
      <c r="O74" s="203"/>
      <c r="P74" s="203"/>
      <c r="Q74" s="203"/>
      <c r="R74" s="263">
        <f t="shared" si="3"/>
        <v>0</v>
      </c>
      <c r="S74" s="234"/>
      <c r="T74" s="267"/>
      <c r="U74" s="268"/>
      <c r="V74" s="268"/>
      <c r="W74" s="268"/>
      <c r="X74" s="268"/>
      <c r="Y74" s="268"/>
      <c r="Z74" s="268"/>
      <c r="AA74" s="269"/>
      <c r="AB74" s="150"/>
      <c r="AC74" s="227"/>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27"/>
      <c r="BA74" s="227"/>
      <c r="BB74" s="227"/>
      <c r="BC74" s="227"/>
      <c r="BD74" s="227"/>
      <c r="BE74" s="227"/>
      <c r="BF74" s="227"/>
      <c r="BG74" s="227"/>
      <c r="BH74" s="227"/>
      <c r="BI74" s="227"/>
      <c r="BJ74" s="227"/>
      <c r="BK74" s="227"/>
      <c r="BL74" s="227"/>
      <c r="BM74" s="227"/>
      <c r="BN74" s="227"/>
      <c r="BO74" s="227"/>
      <c r="BP74" s="227"/>
    </row>
    <row r="75" customHeight="1" spans="1:68">
      <c r="A75" s="234"/>
      <c r="B75" s="260"/>
      <c r="C75" s="261"/>
      <c r="D75" s="261"/>
      <c r="E75" s="261"/>
      <c r="F75" s="202" t="s">
        <v>161</v>
      </c>
      <c r="G75" s="203"/>
      <c r="H75" s="203"/>
      <c r="I75" s="203"/>
      <c r="J75" s="203"/>
      <c r="K75" s="262">
        <f t="array" ref="K75">IF(F75="S",IF(G75&lt;&gt;"",$K$15,$K$15/2),)+IF(F75="T",IF(G75&lt;&gt;"",$K$16,$K$16/2),)+IF(F75="Ag",IF(G75&lt;&gt;"",$K$17,$K$17/2),)+IF(F75="Int",IF(G75&lt;&gt;"",$K$18,_xlfn.ANCHORARRAY($K$18)/2),)+IF(F75="Per",IF(G75&lt;&gt;"",$K$19,$K$19/2),)+IF(F75="WP",IF(G75&lt;&gt;"",$K$20,_xlfn.ANCHORARRAY($K$20)/2),)+IF(F75="Fel",IF(G75&lt;&gt;"",$K$21,$K$21/2),)+IF(H75&lt;&gt;"",10,0)+IF(I75&lt;&gt;"",10,0)+IF(J75&lt;&gt;"",10,0)</f>
        <v>0</v>
      </c>
      <c r="L75" s="203"/>
      <c r="M75" s="203"/>
      <c r="N75" s="203"/>
      <c r="O75" s="203"/>
      <c r="P75" s="203"/>
      <c r="Q75" s="203"/>
      <c r="R75" s="263">
        <f t="shared" si="3"/>
        <v>0</v>
      </c>
      <c r="S75" s="234"/>
      <c r="T75" s="257" t="s">
        <v>162</v>
      </c>
      <c r="U75" s="258"/>
      <c r="V75" s="258"/>
      <c r="W75" s="258"/>
      <c r="X75" s="258"/>
      <c r="Y75" s="258"/>
      <c r="Z75" s="258"/>
      <c r="AA75" s="259"/>
      <c r="AB75" s="150"/>
      <c r="AC75" s="227"/>
      <c r="AD75" s="230"/>
      <c r="AE75" s="230"/>
      <c r="AF75" s="230"/>
      <c r="AG75" s="230"/>
      <c r="AH75" s="230"/>
      <c r="AI75" s="230"/>
      <c r="AJ75" s="230"/>
      <c r="AK75" s="230"/>
      <c r="AL75" s="230"/>
      <c r="AM75" s="230"/>
      <c r="AN75" s="230"/>
      <c r="AO75" s="230"/>
      <c r="AP75" s="230"/>
      <c r="AQ75" s="230"/>
      <c r="AR75" s="230"/>
      <c r="AS75" s="230"/>
      <c r="AT75" s="230"/>
      <c r="AU75" s="230"/>
      <c r="AV75" s="230"/>
      <c r="AW75" s="230"/>
      <c r="AX75" s="230"/>
      <c r="AY75" s="230"/>
      <c r="AZ75" s="227"/>
      <c r="BA75" s="227"/>
      <c r="BB75" s="227"/>
      <c r="BC75" s="227"/>
      <c r="BD75" s="227"/>
      <c r="BE75" s="227"/>
      <c r="BF75" s="227"/>
      <c r="BG75" s="227"/>
      <c r="BH75" s="227"/>
      <c r="BI75" s="227"/>
      <c r="BJ75" s="227"/>
      <c r="BK75" s="227"/>
      <c r="BL75" s="227"/>
      <c r="BM75" s="227"/>
      <c r="BN75" s="227"/>
      <c r="BO75" s="227"/>
      <c r="BP75" s="227"/>
    </row>
    <row r="76" customHeight="1" spans="1:68">
      <c r="A76" s="234"/>
      <c r="B76" s="260"/>
      <c r="C76" s="261"/>
      <c r="D76" s="261"/>
      <c r="E76" s="261"/>
      <c r="F76" s="202" t="s">
        <v>161</v>
      </c>
      <c r="G76" s="203"/>
      <c r="H76" s="203"/>
      <c r="I76" s="203"/>
      <c r="J76" s="203"/>
      <c r="K76" s="262">
        <f t="array" ref="K76">IF(F76="S",IF(G76&lt;&gt;"",$K$15,$K$15/2),)+IF(F76="T",IF(G76&lt;&gt;"",$K$16,$K$16/2),)+IF(F76="Ag",IF(G76&lt;&gt;"",$K$17,$K$17/2),)+IF(F76="Int",IF(G76&lt;&gt;"",$K$18,_xlfn.ANCHORARRAY($K$18)/2),)+IF(F76="Per",IF(G76&lt;&gt;"",$K$19,$K$19/2),)+IF(F76="WP",IF(G76&lt;&gt;"",$K$20,_xlfn.ANCHORARRAY($K$20)/2),)+IF(F76="Fel",IF(G76&lt;&gt;"",$K$21,$K$21/2),)+IF(H76&lt;&gt;"",10,0)+IF(I76&lt;&gt;"",10,0)+IF(J76&lt;&gt;"",10,0)</f>
        <v>0</v>
      </c>
      <c r="L76" s="203"/>
      <c r="M76" s="203"/>
      <c r="N76" s="203"/>
      <c r="O76" s="203"/>
      <c r="P76" s="203"/>
      <c r="Q76" s="203"/>
      <c r="R76" s="263">
        <f t="shared" si="3"/>
        <v>0</v>
      </c>
      <c r="S76" s="234"/>
      <c r="T76" s="264"/>
      <c r="U76" s="265"/>
      <c r="V76" s="265"/>
      <c r="W76" s="265"/>
      <c r="X76" s="265"/>
      <c r="Y76" s="265"/>
      <c r="Z76" s="265"/>
      <c r="AA76" s="266"/>
      <c r="AB76" s="150"/>
      <c r="AC76" s="227"/>
      <c r="AD76" s="230"/>
      <c r="AE76" s="230"/>
      <c r="AF76" s="230"/>
      <c r="AG76" s="230"/>
      <c r="AH76" s="230"/>
      <c r="AI76" s="230"/>
      <c r="AJ76" s="230"/>
      <c r="AK76" s="230"/>
      <c r="AL76" s="230"/>
      <c r="AM76" s="230"/>
      <c r="AN76" s="230"/>
      <c r="AO76" s="230"/>
      <c r="AP76" s="230"/>
      <c r="AQ76" s="230"/>
      <c r="AR76" s="230"/>
      <c r="AS76" s="230"/>
      <c r="AT76" s="230"/>
      <c r="AU76" s="230"/>
      <c r="AV76" s="230"/>
      <c r="AW76" s="230"/>
      <c r="AX76" s="230"/>
      <c r="AY76" s="230"/>
      <c r="AZ76" s="227"/>
      <c r="BA76" s="227"/>
      <c r="BB76" s="227"/>
      <c r="BC76" s="227"/>
      <c r="BD76" s="227"/>
      <c r="BE76" s="227"/>
      <c r="BF76" s="227"/>
      <c r="BG76" s="227"/>
      <c r="BH76" s="227"/>
      <c r="BI76" s="227"/>
      <c r="BJ76" s="227"/>
      <c r="BK76" s="227"/>
      <c r="BL76" s="227"/>
      <c r="BM76" s="227"/>
      <c r="BN76" s="227"/>
      <c r="BO76" s="227"/>
      <c r="BP76" s="227"/>
    </row>
    <row r="77" customHeight="1" spans="1:68">
      <c r="A77" s="234"/>
      <c r="B77" s="260"/>
      <c r="C77" s="261"/>
      <c r="D77" s="261"/>
      <c r="E77" s="261"/>
      <c r="F77" s="202" t="s">
        <v>161</v>
      </c>
      <c r="G77" s="203"/>
      <c r="H77" s="203"/>
      <c r="I77" s="203"/>
      <c r="J77" s="203"/>
      <c r="K77" s="262">
        <f t="array" ref="K77">IF(F77="S",IF(G77&lt;&gt;"",$K$15,$K$15/2),)+IF(F77="T",IF(G77&lt;&gt;"",$K$16,$K$16/2),)+IF(F77="Ag",IF(G77&lt;&gt;"",$K$17,$K$17/2),)+IF(F77="Int",IF(G77&lt;&gt;"",$K$18,_xlfn.ANCHORARRAY($K$18)/2),)+IF(F77="Per",IF(G77&lt;&gt;"",$K$19,$K$19/2),)+IF(F77="WP",IF(G77&lt;&gt;"",$K$20,_xlfn.ANCHORARRAY($K$20)/2),)+IF(F77="Fel",IF(G77&lt;&gt;"",$K$21,$K$21/2),)+IF(H77&lt;&gt;"",10,0)+IF(I77&lt;&gt;"",10,0)+IF(J77&lt;&gt;"",10,0)</f>
        <v>0</v>
      </c>
      <c r="L77" s="203"/>
      <c r="M77" s="203"/>
      <c r="N77" s="203"/>
      <c r="O77" s="203"/>
      <c r="P77" s="203"/>
      <c r="Q77" s="203"/>
      <c r="R77" s="263">
        <f t="shared" si="3"/>
        <v>0</v>
      </c>
      <c r="S77" s="234"/>
      <c r="T77" s="267"/>
      <c r="U77" s="268"/>
      <c r="V77" s="268"/>
      <c r="W77" s="268"/>
      <c r="X77" s="268"/>
      <c r="Y77" s="268"/>
      <c r="Z77" s="268"/>
      <c r="AA77" s="269"/>
      <c r="AB77" s="150"/>
      <c r="AC77" s="227"/>
      <c r="AD77" s="230"/>
      <c r="AE77" s="230"/>
      <c r="AF77" s="230"/>
      <c r="AG77" s="230"/>
      <c r="AH77" s="230"/>
      <c r="AI77" s="230"/>
      <c r="AJ77" s="230"/>
      <c r="AK77" s="230"/>
      <c r="AL77" s="230"/>
      <c r="AM77" s="230"/>
      <c r="AN77" s="230"/>
      <c r="AO77" s="230"/>
      <c r="AP77" s="230"/>
      <c r="AQ77" s="230"/>
      <c r="AR77" s="230"/>
      <c r="AS77" s="230"/>
      <c r="AT77" s="230"/>
      <c r="AU77" s="230"/>
      <c r="AV77" s="230"/>
      <c r="AW77" s="230"/>
      <c r="AX77" s="230"/>
      <c r="AY77" s="230"/>
      <c r="AZ77" s="227"/>
      <c r="BA77" s="227"/>
      <c r="BB77" s="227"/>
      <c r="BC77" s="227"/>
      <c r="BD77" s="227"/>
      <c r="BE77" s="227"/>
      <c r="BF77" s="227"/>
      <c r="BG77" s="227"/>
      <c r="BH77" s="227"/>
      <c r="BI77" s="227"/>
      <c r="BJ77" s="227"/>
      <c r="BK77" s="227"/>
      <c r="BL77" s="227"/>
      <c r="BM77" s="227"/>
      <c r="BN77" s="227"/>
      <c r="BO77" s="227"/>
      <c r="BP77" s="227"/>
    </row>
    <row r="78" customHeight="1" spans="1:68">
      <c r="A78" s="234"/>
      <c r="B78" s="260"/>
      <c r="C78" s="261"/>
      <c r="D78" s="261"/>
      <c r="E78" s="261"/>
      <c r="F78" s="202" t="s">
        <v>161</v>
      </c>
      <c r="G78" s="203"/>
      <c r="H78" s="203"/>
      <c r="I78" s="203"/>
      <c r="J78" s="203"/>
      <c r="K78" s="262">
        <f t="array" ref="K78">IF(F78="S",IF(G78&lt;&gt;"",$K$15,$K$15/2),)+IF(F78="T",IF(G78&lt;&gt;"",$K$16,$K$16/2),)+IF(F78="Ag",IF(G78&lt;&gt;"",$K$17,$K$17/2),)+IF(F78="Int",IF(G78&lt;&gt;"",$K$18,_xlfn.ANCHORARRAY($K$18)/2),)+IF(F78="Per",IF(G78&lt;&gt;"",$K$19,$K$19/2),)+IF(F78="WP",IF(G78&lt;&gt;"",$K$20,_xlfn.ANCHORARRAY($K$20)/2),)+IF(F78="Fel",IF(G78&lt;&gt;"",$K$21,$K$21/2),)+IF(H78&lt;&gt;"",10,0)+IF(I78&lt;&gt;"",10,0)+IF(J78&lt;&gt;"",10,0)</f>
        <v>0</v>
      </c>
      <c r="L78" s="203"/>
      <c r="M78" s="203"/>
      <c r="N78" s="203"/>
      <c r="O78" s="203"/>
      <c r="P78" s="203"/>
      <c r="Q78" s="203"/>
      <c r="R78" s="263">
        <f t="shared" si="3"/>
        <v>0</v>
      </c>
      <c r="S78" s="234"/>
      <c r="T78" s="257" t="s">
        <v>163</v>
      </c>
      <c r="U78" s="258"/>
      <c r="V78" s="258"/>
      <c r="W78" s="258"/>
      <c r="X78" s="258"/>
      <c r="Y78" s="258"/>
      <c r="Z78" s="258"/>
      <c r="AA78" s="259"/>
      <c r="AB78" s="150"/>
      <c r="AC78" s="227"/>
      <c r="AD78" s="230"/>
      <c r="AE78" s="230"/>
      <c r="AF78" s="230"/>
      <c r="AG78" s="230"/>
      <c r="AH78" s="230"/>
      <c r="AI78" s="230"/>
      <c r="AJ78" s="230"/>
      <c r="AK78" s="230"/>
      <c r="AL78" s="230"/>
      <c r="AM78" s="230"/>
      <c r="AN78" s="230"/>
      <c r="AO78" s="230"/>
      <c r="AP78" s="230"/>
      <c r="AQ78" s="230"/>
      <c r="AR78" s="230"/>
      <c r="AS78" s="230"/>
      <c r="AT78" s="230"/>
      <c r="AU78" s="230"/>
      <c r="AV78" s="230"/>
      <c r="AW78" s="230"/>
      <c r="AX78" s="230"/>
      <c r="AY78" s="230"/>
      <c r="AZ78" s="227"/>
      <c r="BA78" s="227"/>
      <c r="BB78" s="227"/>
      <c r="BC78" s="227"/>
      <c r="BD78" s="227"/>
      <c r="BE78" s="227"/>
      <c r="BF78" s="227"/>
      <c r="BG78" s="227"/>
      <c r="BH78" s="227"/>
      <c r="BI78" s="227"/>
      <c r="BJ78" s="227"/>
      <c r="BK78" s="227"/>
      <c r="BL78" s="227"/>
      <c r="BM78" s="227"/>
      <c r="BN78" s="227"/>
      <c r="BO78" s="227"/>
      <c r="BP78" s="227"/>
    </row>
    <row r="79" customHeight="1" spans="1:68">
      <c r="A79" s="234"/>
      <c r="B79" s="260"/>
      <c r="C79" s="261"/>
      <c r="D79" s="261"/>
      <c r="E79" s="261"/>
      <c r="F79" s="202" t="s">
        <v>161</v>
      </c>
      <c r="G79" s="203"/>
      <c r="H79" s="203"/>
      <c r="I79" s="203"/>
      <c r="J79" s="203"/>
      <c r="K79" s="262">
        <f t="array" ref="K79">IF(F79="S",IF(G79&lt;&gt;"",$K$15,$K$15/2),)+IF(F79="T",IF(G79&lt;&gt;"",$K$16,$K$16/2),)+IF(F79="Ag",IF(G79&lt;&gt;"",$K$17,$K$17/2),)+IF(F79="Int",IF(G79&lt;&gt;"",$K$18,_xlfn.ANCHORARRAY($K$18)/2),)+IF(F79="Per",IF(G79&lt;&gt;"",$K$19,$K$19/2),)+IF(F79="WP",IF(G79&lt;&gt;"",$K$20,_xlfn.ANCHORARRAY($K$20)/2),)+IF(F79="Fel",IF(G79&lt;&gt;"",$K$21,$K$21/2),)+IF(H79&lt;&gt;"",10,0)+IF(I79&lt;&gt;"",10,0)+IF(J79&lt;&gt;"",10,0)</f>
        <v>0</v>
      </c>
      <c r="L79" s="203"/>
      <c r="M79" s="203"/>
      <c r="N79" s="203"/>
      <c r="O79" s="203"/>
      <c r="P79" s="203"/>
      <c r="Q79" s="203"/>
      <c r="R79" s="263">
        <f t="shared" si="3"/>
        <v>0</v>
      </c>
      <c r="S79" s="234"/>
      <c r="T79" s="264"/>
      <c r="U79" s="265"/>
      <c r="V79" s="265"/>
      <c r="W79" s="265"/>
      <c r="X79" s="265"/>
      <c r="Y79" s="265"/>
      <c r="Z79" s="265"/>
      <c r="AA79" s="266"/>
      <c r="AB79" s="150"/>
      <c r="AC79" s="227"/>
      <c r="AD79" s="230"/>
      <c r="AE79" s="230"/>
      <c r="AF79" s="230"/>
      <c r="AG79" s="230"/>
      <c r="AH79" s="230"/>
      <c r="AI79" s="230"/>
      <c r="AJ79" s="230"/>
      <c r="AK79" s="230"/>
      <c r="AL79" s="230"/>
      <c r="AM79" s="230"/>
      <c r="AN79" s="230"/>
      <c r="AO79" s="230"/>
      <c r="AP79" s="230"/>
      <c r="AQ79" s="230"/>
      <c r="AR79" s="230"/>
      <c r="AS79" s="230"/>
      <c r="AT79" s="230"/>
      <c r="AU79" s="230"/>
      <c r="AV79" s="230"/>
      <c r="AW79" s="230"/>
      <c r="AX79" s="230"/>
      <c r="AY79" s="230"/>
    </row>
    <row r="80" customHeight="1" spans="1:68">
      <c r="A80" s="234"/>
      <c r="B80" s="260"/>
      <c r="C80" s="261"/>
      <c r="D80" s="261"/>
      <c r="E80" s="261"/>
      <c r="F80" s="202" t="s">
        <v>161</v>
      </c>
      <c r="G80" s="203"/>
      <c r="H80" s="203"/>
      <c r="I80" s="203"/>
      <c r="J80" s="203"/>
      <c r="K80" s="262">
        <f t="array" ref="K80">IF(F80="S",IF(G80&lt;&gt;"",$K$15,$K$15/2),)+IF(F80="T",IF(G80&lt;&gt;"",$K$16,$K$16/2),)+IF(F80="Ag",IF(G80&lt;&gt;"",$K$17,$K$17/2),)+IF(F80="Int",IF(G80&lt;&gt;"",$K$18,_xlfn.ANCHORARRAY($K$18)/2),)+IF(F80="Per",IF(G80&lt;&gt;"",$K$19,$K$19/2),)+IF(F80="WP",IF(G80&lt;&gt;"",$K$20,_xlfn.ANCHORARRAY($K$20)/2),)+IF(F80="Fel",IF(G80&lt;&gt;"",$K$21,$K$21/2),)+IF(H80&lt;&gt;"",10,0)+IF(I80&lt;&gt;"",10,0)+IF(J80&lt;&gt;"",10,0)</f>
        <v>0</v>
      </c>
      <c r="L80" s="203"/>
      <c r="M80" s="203"/>
      <c r="N80" s="203"/>
      <c r="O80" s="203"/>
      <c r="P80" s="203"/>
      <c r="Q80" s="203"/>
      <c r="R80" s="263">
        <f t="shared" si="3"/>
        <v>0</v>
      </c>
      <c r="S80" s="234"/>
      <c r="T80" s="270"/>
      <c r="U80" s="271"/>
      <c r="V80" s="271"/>
      <c r="W80" s="271"/>
      <c r="X80" s="271"/>
      <c r="Y80" s="271"/>
      <c r="Z80" s="271"/>
      <c r="AA80" s="272"/>
      <c r="AB80" s="150"/>
      <c r="AC80" s="227"/>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row>
    <row r="81" customHeight="1" spans="1:69">
      <c r="A81" s="234"/>
      <c r="B81" s="260"/>
      <c r="C81" s="261"/>
      <c r="D81" s="261"/>
      <c r="E81" s="261"/>
      <c r="F81" s="202" t="s">
        <v>161</v>
      </c>
      <c r="G81" s="203"/>
      <c r="H81" s="203"/>
      <c r="I81" s="203"/>
      <c r="J81" s="203"/>
      <c r="K81" s="262">
        <f t="array" ref="K81">IF(F81="S",IF(G81&lt;&gt;"",$K$15,$K$15/2),)+IF(F81="T",IF(G81&lt;&gt;"",$K$16,$K$16/2),)+IF(F81="Ag",IF(G81&lt;&gt;"",$K$17,$K$17/2),)+IF(F81="Int",IF(G81&lt;&gt;"",$K$18,_xlfn.ANCHORARRAY($K$18)/2),)+IF(F81="Per",IF(G81&lt;&gt;"",$K$19,$K$19/2),)+IF(F81="WP",IF(G81&lt;&gt;"",$K$20,_xlfn.ANCHORARRAY($K$20)/2),)+IF(F81="Fel",IF(G81&lt;&gt;"",$K$21,$K$21/2),)+IF(H81&lt;&gt;"",10,0)+IF(I81&lt;&gt;"",10,0)+IF(J81&lt;&gt;"",10,0)</f>
        <v>0</v>
      </c>
      <c r="L81" s="203"/>
      <c r="M81" s="203"/>
      <c r="N81" s="203"/>
      <c r="O81" s="203"/>
      <c r="P81" s="203"/>
      <c r="Q81" s="203"/>
      <c r="R81" s="263">
        <f t="shared" si="3"/>
        <v>0</v>
      </c>
      <c r="S81" s="234"/>
      <c r="T81" s="270"/>
      <c r="U81" s="271"/>
      <c r="V81" s="271"/>
      <c r="W81" s="271"/>
      <c r="X81" s="271"/>
      <c r="Y81" s="271"/>
      <c r="Z81" s="271"/>
      <c r="AA81" s="272"/>
      <c r="AB81" s="150"/>
      <c r="AC81" s="227"/>
      <c r="AD81" s="230"/>
      <c r="AE81" s="230"/>
      <c r="AF81" s="230"/>
      <c r="AG81" s="230"/>
      <c r="AH81" s="230"/>
      <c r="AI81" s="230"/>
      <c r="AJ81" s="230"/>
      <c r="AK81" s="230"/>
      <c r="AL81" s="230"/>
      <c r="AM81" s="230"/>
      <c r="AN81" s="230"/>
      <c r="AO81" s="230"/>
      <c r="AP81" s="230"/>
      <c r="AQ81" s="230"/>
      <c r="AR81" s="230"/>
      <c r="AS81" s="230"/>
      <c r="AT81" s="230"/>
      <c r="AU81" s="230"/>
      <c r="AV81" s="230"/>
      <c r="AW81" s="230"/>
      <c r="AX81" s="230"/>
      <c r="AY81" s="230"/>
      <c r="AZ81" s="227"/>
      <c r="BA81" s="227"/>
      <c r="BB81" s="227"/>
      <c r="BC81" s="227"/>
      <c r="BD81" s="227"/>
      <c r="BE81" s="227"/>
      <c r="BF81" s="227"/>
      <c r="BG81" s="227"/>
      <c r="BH81" s="227"/>
      <c r="BI81" s="227"/>
      <c r="BJ81" s="227"/>
      <c r="BK81" s="227"/>
      <c r="BL81" s="227"/>
      <c r="BM81" s="227"/>
      <c r="BN81" s="227"/>
      <c r="BO81" s="227"/>
      <c r="BP81" s="227"/>
      <c r="BQ81" s="227"/>
    </row>
    <row r="82" customHeight="1" spans="1:69">
      <c r="A82" s="234"/>
      <c r="B82" s="260"/>
      <c r="C82" s="261"/>
      <c r="D82" s="261"/>
      <c r="E82" s="261"/>
      <c r="F82" s="202" t="s">
        <v>161</v>
      </c>
      <c r="G82" s="203"/>
      <c r="H82" s="203"/>
      <c r="I82" s="203"/>
      <c r="J82" s="203"/>
      <c r="K82" s="262">
        <f t="array" ref="K82">IF(F82="S",IF(G82&lt;&gt;"",$K$15,$K$15/2),)+IF(F82="T",IF(G82&lt;&gt;"",$K$16,$K$16/2),)+IF(F82="Ag",IF(G82&lt;&gt;"",$K$17,$K$17/2),)+IF(F82="Int",IF(G82&lt;&gt;"",$K$18,_xlfn.ANCHORARRAY($K$18)/2),)+IF(F82="Per",IF(G82&lt;&gt;"",$K$19,$K$19/2),)+IF(F82="WP",IF(G82&lt;&gt;"",$K$20,_xlfn.ANCHORARRAY($K$20)/2),)+IF(F82="Fel",IF(G82&lt;&gt;"",$K$21,$K$21/2),)+IF(H82&lt;&gt;"",10,0)+IF(I82&lt;&gt;"",10,0)+IF(J82&lt;&gt;"",10,0)</f>
        <v>0</v>
      </c>
      <c r="L82" s="203"/>
      <c r="M82" s="203"/>
      <c r="N82" s="203"/>
      <c r="O82" s="203"/>
      <c r="P82" s="203"/>
      <c r="Q82" s="203"/>
      <c r="R82" s="263">
        <f t="shared" si="3"/>
        <v>0</v>
      </c>
      <c r="S82" s="234"/>
      <c r="T82" s="267"/>
      <c r="U82" s="268"/>
      <c r="V82" s="268"/>
      <c r="W82" s="268"/>
      <c r="X82" s="268"/>
      <c r="Y82" s="268"/>
      <c r="Z82" s="268"/>
      <c r="AA82" s="269"/>
      <c r="AB82" s="150"/>
      <c r="AC82" s="227"/>
      <c r="AD82" s="230"/>
      <c r="AE82" s="230"/>
      <c r="AF82" s="230"/>
      <c r="AG82" s="230"/>
      <c r="AH82" s="230"/>
      <c r="AI82" s="230"/>
      <c r="AJ82" s="230"/>
      <c r="AK82" s="230"/>
      <c r="AL82" s="230"/>
      <c r="AM82" s="230"/>
      <c r="AN82" s="230"/>
      <c r="AO82" s="230"/>
      <c r="AP82" s="230"/>
      <c r="AQ82" s="230"/>
      <c r="AR82" s="230"/>
      <c r="AS82" s="230"/>
      <c r="AT82" s="230"/>
      <c r="AU82" s="230"/>
      <c r="AV82" s="230"/>
      <c r="AW82" s="230"/>
      <c r="AX82" s="230"/>
      <c r="AY82" s="230"/>
      <c r="AZ82" s="227"/>
      <c r="BA82" s="227"/>
      <c r="BB82" s="227"/>
      <c r="BC82" s="227"/>
      <c r="BD82" s="227"/>
      <c r="BE82" s="227"/>
      <c r="BF82" s="227"/>
      <c r="BG82" s="227"/>
      <c r="BH82" s="227"/>
      <c r="BI82" s="227"/>
      <c r="BJ82" s="227"/>
      <c r="BK82" s="227"/>
      <c r="BL82" s="227"/>
      <c r="BM82" s="227"/>
      <c r="BN82" s="227"/>
      <c r="BO82" s="227"/>
      <c r="BP82" s="227"/>
      <c r="BQ82" s="227"/>
    </row>
    <row r="83" customHeight="1" spans="1:69">
      <c r="A83" s="234"/>
      <c r="B83" s="260"/>
      <c r="C83" s="261"/>
      <c r="D83" s="261"/>
      <c r="E83" s="261"/>
      <c r="F83" s="202" t="s">
        <v>161</v>
      </c>
      <c r="G83" s="203"/>
      <c r="H83" s="203"/>
      <c r="I83" s="203"/>
      <c r="J83" s="203"/>
      <c r="K83" s="262">
        <f t="array" ref="K83">IF(F83="S",IF(G83&lt;&gt;"",$K$15,$K$15/2),)+IF(F83="T",IF(G83&lt;&gt;"",$K$16,$K$16/2),)+IF(F83="Ag",IF(G83&lt;&gt;"",$K$17,$K$17/2),)+IF(F83="Int",IF(G83&lt;&gt;"",$K$18,_xlfn.ANCHORARRAY($K$18)/2),)+IF(F83="Per",IF(G83&lt;&gt;"",$K$19,$K$19/2),)+IF(F83="WP",IF(G83&lt;&gt;"",$K$20,_xlfn.ANCHORARRAY($K$20)/2),)+IF(F83="Fel",IF(G83&lt;&gt;"",$K$21,$K$21/2),)+IF(H83&lt;&gt;"",10,0)+IF(I83&lt;&gt;"",10,0)+IF(J83&lt;&gt;"",10,0)</f>
        <v>0</v>
      </c>
      <c r="L83" s="203"/>
      <c r="M83" s="203"/>
      <c r="N83" s="203"/>
      <c r="O83" s="203"/>
      <c r="P83" s="203"/>
      <c r="Q83" s="203"/>
      <c r="R83" s="263">
        <f t="shared" si="3"/>
        <v>0</v>
      </c>
      <c r="S83" s="234"/>
      <c r="T83" s="273"/>
      <c r="U83" s="273"/>
      <c r="V83" s="273"/>
      <c r="W83" s="273"/>
      <c r="X83" s="273"/>
      <c r="Y83" s="273"/>
      <c r="Z83" s="273"/>
      <c r="AA83" s="273"/>
      <c r="AB83" s="150"/>
      <c r="AC83" s="227"/>
      <c r="AD83" s="230"/>
      <c r="AE83" s="230"/>
      <c r="AF83" s="230"/>
      <c r="AG83" s="230"/>
      <c r="AH83" s="230"/>
      <c r="AI83" s="230"/>
      <c r="AJ83" s="230"/>
      <c r="AK83" s="230"/>
      <c r="AL83" s="230"/>
      <c r="AM83" s="230"/>
      <c r="AN83" s="230"/>
      <c r="AO83" s="230"/>
      <c r="AP83" s="230"/>
      <c r="AQ83" s="230"/>
      <c r="AR83" s="230"/>
      <c r="AS83" s="230"/>
      <c r="AT83" s="230"/>
      <c r="AU83" s="230"/>
      <c r="AV83" s="230"/>
      <c r="AW83" s="230"/>
      <c r="AX83" s="230"/>
      <c r="AY83" s="230"/>
      <c r="AZ83" s="227"/>
      <c r="BA83" s="227"/>
      <c r="BB83" s="227"/>
      <c r="BC83" s="227"/>
      <c r="BD83" s="227"/>
      <c r="BE83" s="227"/>
      <c r="BF83" s="227"/>
      <c r="BG83" s="227"/>
      <c r="BH83" s="227"/>
      <c r="BI83" s="227"/>
      <c r="BJ83" s="227"/>
      <c r="BK83" s="227"/>
      <c r="BL83" s="227"/>
      <c r="BM83" s="227"/>
      <c r="BN83" s="227"/>
      <c r="BO83" s="227"/>
      <c r="BP83" s="227"/>
      <c r="BQ83" s="227"/>
    </row>
    <row r="84" customHeight="1" spans="1:69">
      <c r="A84" s="234"/>
      <c r="B84" s="260"/>
      <c r="C84" s="261"/>
      <c r="D84" s="261"/>
      <c r="E84" s="261"/>
      <c r="F84" s="202" t="s">
        <v>161</v>
      </c>
      <c r="G84" s="203"/>
      <c r="H84" s="203"/>
      <c r="I84" s="203"/>
      <c r="J84" s="203"/>
      <c r="K84" s="262">
        <f t="array" ref="K84">IF(F84="S",IF(G84&lt;&gt;"",$K$15,$K$15/2),)+IF(F84="T",IF(G84&lt;&gt;"",$K$16,$K$16/2),)+IF(F84="Ag",IF(G84&lt;&gt;"",$K$17,$K$17/2),)+IF(F84="Int",IF(G84&lt;&gt;"",$K$18,_xlfn.ANCHORARRAY($K$18)/2),)+IF(F84="Per",IF(G84&lt;&gt;"",$K$19,$K$19/2),)+IF(F84="WP",IF(G84&lt;&gt;"",$K$20,_xlfn.ANCHORARRAY($K$20)/2),)+IF(F84="Fel",IF(G84&lt;&gt;"",$K$21,$K$21/2),)+IF(H84&lt;&gt;"",10,0)+IF(I84&lt;&gt;"",10,0)+IF(J84&lt;&gt;"",10,0)</f>
        <v>0</v>
      </c>
      <c r="L84" s="203"/>
      <c r="M84" s="203"/>
      <c r="N84" s="203"/>
      <c r="O84" s="203"/>
      <c r="P84" s="203"/>
      <c r="Q84" s="203"/>
      <c r="R84" s="263">
        <f t="shared" si="3"/>
        <v>0</v>
      </c>
      <c r="S84" s="234"/>
      <c r="T84" s="253" t="s">
        <v>33</v>
      </c>
      <c r="U84" s="253"/>
      <c r="V84" s="253"/>
      <c r="W84" s="253"/>
      <c r="X84" s="253"/>
      <c r="Y84" s="253"/>
      <c r="Z84" s="253"/>
      <c r="AA84" s="253"/>
      <c r="AB84" s="150"/>
      <c r="AC84" s="227"/>
      <c r="AD84" s="230"/>
      <c r="AE84" s="230"/>
      <c r="AF84" s="230"/>
      <c r="AG84" s="230"/>
      <c r="AH84" s="230"/>
      <c r="AI84" s="230"/>
      <c r="AJ84" s="230"/>
      <c r="AK84" s="230"/>
      <c r="AL84" s="230"/>
      <c r="AM84" s="230"/>
      <c r="AN84" s="230"/>
      <c r="AO84" s="230"/>
      <c r="AP84" s="230"/>
      <c r="AQ84" s="230"/>
      <c r="AR84" s="230"/>
      <c r="AS84" s="230"/>
      <c r="AT84" s="230"/>
      <c r="AU84" s="230"/>
      <c r="AV84" s="230"/>
      <c r="AW84" s="230"/>
      <c r="AX84" s="230"/>
      <c r="AY84" s="230"/>
      <c r="AZ84" s="227"/>
      <c r="BA84" s="227"/>
      <c r="BB84" s="227"/>
      <c r="BC84" s="227"/>
      <c r="BD84" s="227"/>
      <c r="BE84" s="227"/>
      <c r="BF84" s="227"/>
      <c r="BG84" s="227"/>
      <c r="BH84" s="227"/>
      <c r="BI84" s="227"/>
      <c r="BJ84" s="227"/>
      <c r="BK84" s="227"/>
      <c r="BL84" s="227"/>
      <c r="BM84" s="227"/>
      <c r="BN84" s="227"/>
      <c r="BO84" s="227"/>
      <c r="BP84" s="227"/>
      <c r="BQ84" s="227"/>
    </row>
    <row r="85" customHeight="1" spans="1:69">
      <c r="A85" s="234"/>
      <c r="B85" s="260"/>
      <c r="C85" s="261"/>
      <c r="D85" s="261"/>
      <c r="E85" s="261"/>
      <c r="F85" s="202" t="s">
        <v>161</v>
      </c>
      <c r="G85" s="203"/>
      <c r="H85" s="203"/>
      <c r="I85" s="203"/>
      <c r="J85" s="203"/>
      <c r="K85" s="262">
        <f t="array" ref="K85">IF(F85="S",IF(G85&lt;&gt;"",$K$15,$K$15/2),)+IF(F85="T",IF(G85&lt;&gt;"",$K$16,$K$16/2),)+IF(F85="Ag",IF(G85&lt;&gt;"",$K$17,$K$17/2),)+IF(F85="Int",IF(G85&lt;&gt;"",$K$18,_xlfn.ANCHORARRAY($K$18)/2),)+IF(F85="Per",IF(G85&lt;&gt;"",$K$19,$K$19/2),)+IF(F85="WP",IF(G85&lt;&gt;"",$K$20,_xlfn.ANCHORARRAY($K$20)/2),)+IF(F85="Fel",IF(G85&lt;&gt;"",$K$21,$K$21/2),)+IF(H85&lt;&gt;"",10,0)+IF(I85&lt;&gt;"",10,0)+IF(J85&lt;&gt;"",10,0)</f>
        <v>0</v>
      </c>
      <c r="L85" s="203"/>
      <c r="M85" s="203"/>
      <c r="N85" s="203"/>
      <c r="O85" s="203"/>
      <c r="P85" s="203"/>
      <c r="Q85" s="203"/>
      <c r="R85" s="263">
        <f t="shared" si="3"/>
        <v>0</v>
      </c>
      <c r="S85" s="234"/>
      <c r="T85" s="264"/>
      <c r="U85" s="265"/>
      <c r="V85" s="265"/>
      <c r="W85" s="265"/>
      <c r="X85" s="265"/>
      <c r="Y85" s="265"/>
      <c r="Z85" s="265"/>
      <c r="AA85" s="266"/>
      <c r="AB85" s="150"/>
      <c r="AC85" s="227"/>
      <c r="AD85" s="230"/>
      <c r="AE85" s="230"/>
      <c r="AF85" s="230"/>
      <c r="AG85" s="230"/>
      <c r="AH85" s="230"/>
      <c r="AI85" s="230"/>
      <c r="AJ85" s="230"/>
      <c r="AK85" s="230"/>
      <c r="AL85" s="230"/>
      <c r="AM85" s="230"/>
      <c r="AN85" s="230"/>
      <c r="AO85" s="230"/>
      <c r="AP85" s="230"/>
      <c r="AQ85" s="230"/>
      <c r="AR85" s="230"/>
      <c r="AS85" s="230"/>
      <c r="AT85" s="230"/>
      <c r="AU85" s="230"/>
      <c r="AV85" s="230"/>
      <c r="AW85" s="230"/>
      <c r="AX85" s="230"/>
      <c r="AY85" s="230"/>
      <c r="AZ85" s="227"/>
      <c r="BA85" s="227"/>
      <c r="BB85" s="227"/>
      <c r="BC85" s="227"/>
      <c r="BD85" s="227"/>
      <c r="BE85" s="227"/>
      <c r="BF85" s="227"/>
      <c r="BG85" s="227"/>
      <c r="BH85" s="227"/>
      <c r="BI85" s="227"/>
      <c r="BJ85" s="227"/>
      <c r="BK85" s="227"/>
      <c r="BL85" s="227"/>
      <c r="BM85" s="227"/>
      <c r="BN85" s="227"/>
      <c r="BO85" s="227"/>
      <c r="BP85" s="227"/>
      <c r="BQ85" s="227"/>
    </row>
    <row r="86" customHeight="1" spans="1:69">
      <c r="A86" s="234"/>
      <c r="B86" s="260"/>
      <c r="C86" s="261"/>
      <c r="D86" s="261"/>
      <c r="E86" s="261"/>
      <c r="F86" s="202" t="s">
        <v>161</v>
      </c>
      <c r="G86" s="203"/>
      <c r="H86" s="203"/>
      <c r="I86" s="203"/>
      <c r="J86" s="203"/>
      <c r="K86" s="262">
        <f t="array" ref="K86">IF(F86="S",IF(G86&lt;&gt;"",$K$15,$K$15/2),)+IF(F86="T",IF(G86&lt;&gt;"",$K$16,$K$16/2),)+IF(F86="Ag",IF(G86&lt;&gt;"",$K$17,$K$17/2),)+IF(F86="Int",IF(G86&lt;&gt;"",$K$18,_xlfn.ANCHORARRAY($K$18)/2),)+IF(F86="Per",IF(G86&lt;&gt;"",$K$19,$K$19/2),)+IF(F86="WP",IF(G86&lt;&gt;"",$K$20,_xlfn.ANCHORARRAY($K$20)/2),)+IF(F86="Fel",IF(G86&lt;&gt;"",$K$21,$K$21/2),)+IF(H86&lt;&gt;"",10,0)+IF(I86&lt;&gt;"",10,0)+IF(J86&lt;&gt;"",10,0)</f>
        <v>0</v>
      </c>
      <c r="L86" s="203"/>
      <c r="M86" s="203"/>
      <c r="N86" s="203"/>
      <c r="O86" s="203"/>
      <c r="P86" s="203"/>
      <c r="Q86" s="203"/>
      <c r="R86" s="263">
        <f t="shared" si="3"/>
        <v>0</v>
      </c>
      <c r="S86" s="234"/>
      <c r="T86" s="270"/>
      <c r="U86" s="271"/>
      <c r="V86" s="271"/>
      <c r="W86" s="271"/>
      <c r="X86" s="271"/>
      <c r="Y86" s="271"/>
      <c r="Z86" s="271"/>
      <c r="AA86" s="272"/>
      <c r="AB86" s="150"/>
      <c r="AC86" s="227"/>
      <c r="AD86" s="230"/>
      <c r="AE86" s="230"/>
      <c r="AF86" s="230"/>
      <c r="AG86" s="230"/>
      <c r="AH86" s="230"/>
      <c r="AI86" s="230"/>
      <c r="AJ86" s="230"/>
      <c r="AK86" s="230"/>
      <c r="AL86" s="230"/>
      <c r="AM86" s="230"/>
      <c r="AN86" s="230"/>
      <c r="AO86" s="230"/>
      <c r="AP86" s="230"/>
      <c r="AQ86" s="230"/>
      <c r="AR86" s="230"/>
      <c r="AS86" s="230"/>
      <c r="AT86" s="230"/>
      <c r="AU86" s="230"/>
      <c r="AV86" s="230"/>
      <c r="AW86" s="230"/>
      <c r="AX86" s="230"/>
      <c r="AY86" s="230"/>
      <c r="AZ86" s="227"/>
      <c r="BA86" s="227"/>
      <c r="BB86" s="227"/>
      <c r="BC86" s="227"/>
      <c r="BD86" s="227"/>
      <c r="BE86" s="227"/>
      <c r="BF86" s="227"/>
      <c r="BG86" s="227"/>
      <c r="BH86" s="227"/>
      <c r="BI86" s="227"/>
      <c r="BJ86" s="227"/>
      <c r="BK86" s="227"/>
      <c r="BL86" s="227"/>
      <c r="BM86" s="227"/>
      <c r="BN86" s="227"/>
      <c r="BO86" s="227"/>
      <c r="BP86" s="227"/>
      <c r="BQ86" s="227"/>
    </row>
    <row r="87" customHeight="1" spans="1:69">
      <c r="A87" s="234"/>
      <c r="B87" s="260"/>
      <c r="C87" s="261"/>
      <c r="D87" s="261"/>
      <c r="E87" s="261"/>
      <c r="F87" s="202" t="s">
        <v>161</v>
      </c>
      <c r="G87" s="203"/>
      <c r="H87" s="203"/>
      <c r="I87" s="203"/>
      <c r="J87" s="203"/>
      <c r="K87" s="262">
        <f t="array" ref="K87">IF(F87="S",IF(G87&lt;&gt;"",$K$15,$K$15/2),)+IF(F87="T",IF(G87&lt;&gt;"",$K$16,$K$16/2),)+IF(F87="Ag",IF(G87&lt;&gt;"",$K$17,$K$17/2),)+IF(F87="Int",IF(G87&lt;&gt;"",$K$18,_xlfn.ANCHORARRAY($K$18)/2),)+IF(F87="Per",IF(G87&lt;&gt;"",$K$19,$K$19/2),)+IF(F87="WP",IF(G87&lt;&gt;"",$K$20,_xlfn.ANCHORARRAY($K$20)/2),)+IF(F87="Fel",IF(G87&lt;&gt;"",$K$21,$K$21/2),)+IF(H87&lt;&gt;"",10,0)+IF(I87&lt;&gt;"",10,0)+IF(J87&lt;&gt;"",10,0)</f>
        <v>0</v>
      </c>
      <c r="L87" s="203"/>
      <c r="M87" s="203"/>
      <c r="N87" s="203"/>
      <c r="O87" s="203"/>
      <c r="P87" s="203"/>
      <c r="Q87" s="203"/>
      <c r="R87" s="263">
        <f t="shared" si="3"/>
        <v>0</v>
      </c>
      <c r="S87" s="234"/>
      <c r="T87" s="270"/>
      <c r="U87" s="271"/>
      <c r="V87" s="271"/>
      <c r="W87" s="271"/>
      <c r="X87" s="271"/>
      <c r="Y87" s="271"/>
      <c r="Z87" s="271"/>
      <c r="AA87" s="272"/>
      <c r="AB87" s="150"/>
      <c r="AC87" s="227"/>
      <c r="AD87" s="230"/>
      <c r="AE87" s="230"/>
      <c r="AF87" s="230"/>
      <c r="AG87" s="230"/>
      <c r="AH87" s="230"/>
      <c r="AI87" s="230"/>
      <c r="AJ87" s="230"/>
      <c r="AK87" s="230"/>
      <c r="AL87" s="230"/>
      <c r="AM87" s="230"/>
      <c r="AN87" s="230"/>
      <c r="AO87" s="230"/>
      <c r="AP87" s="230"/>
      <c r="AQ87" s="230"/>
      <c r="AR87" s="230"/>
      <c r="AS87" s="230"/>
      <c r="AT87" s="230"/>
      <c r="AU87" s="230"/>
      <c r="AV87" s="230"/>
      <c r="AW87" s="230"/>
      <c r="AX87" s="230"/>
      <c r="AY87" s="230"/>
      <c r="AZ87" s="227"/>
      <c r="BA87" s="227"/>
      <c r="BB87" s="227"/>
      <c r="BC87" s="227"/>
      <c r="BD87" s="227"/>
      <c r="BE87" s="227"/>
      <c r="BF87" s="227"/>
      <c r="BG87" s="227"/>
      <c r="BH87" s="227"/>
      <c r="BI87" s="227"/>
      <c r="BJ87" s="227"/>
      <c r="BK87" s="227"/>
      <c r="BL87" s="227"/>
      <c r="BM87" s="227"/>
      <c r="BN87" s="227"/>
      <c r="BO87" s="227"/>
      <c r="BP87" s="227"/>
      <c r="BQ87" s="227"/>
    </row>
    <row r="88" customHeight="1" spans="1:69">
      <c r="A88" s="234"/>
      <c r="B88" s="260"/>
      <c r="C88" s="261"/>
      <c r="D88" s="261"/>
      <c r="E88" s="261"/>
      <c r="F88" s="202" t="s">
        <v>161</v>
      </c>
      <c r="G88" s="203"/>
      <c r="H88" s="203"/>
      <c r="I88" s="203"/>
      <c r="J88" s="203"/>
      <c r="K88" s="262">
        <f t="array" ref="K88">IF(F88="S",IF(G88&lt;&gt;"",$K$15,$K$15/2),)+IF(F88="T",IF(G88&lt;&gt;"",$K$16,$K$16/2),)+IF(F88="Ag",IF(G88&lt;&gt;"",$K$17,$K$17/2),)+IF(F88="Int",IF(G88&lt;&gt;"",$K$18,_xlfn.ANCHORARRAY($K$18)/2),)+IF(F88="Per",IF(G88&lt;&gt;"",$K$19,$K$19/2),)+IF(F88="WP",IF(G88&lt;&gt;"",$K$20,_xlfn.ANCHORARRAY($K$20)/2),)+IF(F88="Fel",IF(G88&lt;&gt;"",$K$21,$K$21/2),)+IF(H88&lt;&gt;"",10,0)+IF(I88&lt;&gt;"",10,0)+IF(J88&lt;&gt;"",10,0)</f>
        <v>0</v>
      </c>
      <c r="L88" s="203"/>
      <c r="M88" s="203"/>
      <c r="N88" s="203"/>
      <c r="O88" s="203"/>
      <c r="P88" s="203"/>
      <c r="Q88" s="203"/>
      <c r="R88" s="263">
        <f t="shared" si="3"/>
        <v>0</v>
      </c>
      <c r="S88" s="234"/>
      <c r="T88" s="270"/>
      <c r="U88" s="271"/>
      <c r="V88" s="271"/>
      <c r="W88" s="271"/>
      <c r="X88" s="271"/>
      <c r="Y88" s="271"/>
      <c r="Z88" s="271"/>
      <c r="AA88" s="272"/>
      <c r="AB88" s="150"/>
      <c r="AC88" s="227"/>
      <c r="AD88" s="230"/>
      <c r="AE88" s="230"/>
      <c r="AF88" s="230"/>
      <c r="AG88" s="230"/>
      <c r="AH88" s="230"/>
      <c r="AI88" s="230"/>
      <c r="AJ88" s="230"/>
      <c r="AK88" s="230"/>
      <c r="AL88" s="230"/>
      <c r="AM88" s="230"/>
      <c r="AN88" s="230"/>
      <c r="AO88" s="230"/>
      <c r="AP88" s="230"/>
      <c r="AQ88" s="230"/>
      <c r="AR88" s="230"/>
      <c r="AS88" s="230"/>
      <c r="AT88" s="230"/>
      <c r="AU88" s="230"/>
      <c r="AV88" s="230"/>
      <c r="AW88" s="230"/>
      <c r="AX88" s="230"/>
      <c r="AY88" s="230"/>
      <c r="AZ88" s="227"/>
      <c r="BA88" s="227"/>
      <c r="BB88" s="227"/>
      <c r="BC88" s="227"/>
      <c r="BD88" s="227"/>
      <c r="BE88" s="227"/>
      <c r="BF88" s="227"/>
      <c r="BG88" s="227"/>
      <c r="BH88" s="227"/>
      <c r="BI88" s="227"/>
      <c r="BJ88" s="227"/>
      <c r="BK88" s="227"/>
      <c r="BL88" s="227"/>
      <c r="BM88" s="227"/>
      <c r="BN88" s="227"/>
      <c r="BO88" s="227"/>
      <c r="BP88" s="227"/>
      <c r="BQ88" s="227"/>
    </row>
    <row r="89" customHeight="1" spans="1:69">
      <c r="A89" s="234"/>
      <c r="B89" s="260"/>
      <c r="C89" s="261"/>
      <c r="D89" s="261"/>
      <c r="E89" s="261"/>
      <c r="F89" s="202" t="s">
        <v>161</v>
      </c>
      <c r="G89" s="203"/>
      <c r="H89" s="203"/>
      <c r="I89" s="203"/>
      <c r="J89" s="203"/>
      <c r="K89" s="262">
        <f t="array" ref="K89">IF(F89="S",IF(G89&lt;&gt;"",$K$15,$K$15/2),)+IF(F89="T",IF(G89&lt;&gt;"",$K$16,$K$16/2),)+IF(F89="Ag",IF(G89&lt;&gt;"",$K$17,$K$17/2),)+IF(F89="Int",IF(G89&lt;&gt;"",$K$18,_xlfn.ANCHORARRAY($K$18)/2),)+IF(F89="Per",IF(G89&lt;&gt;"",$K$19,$K$19/2),)+IF(F89="WP",IF(G89&lt;&gt;"",$K$20,_xlfn.ANCHORARRAY($K$20)/2),)+IF(F89="Fel",IF(G89&lt;&gt;"",$K$21,$K$21/2),)+IF(H89&lt;&gt;"",10,0)+IF(I89&lt;&gt;"",10,0)+IF(J89&lt;&gt;"",10,0)</f>
        <v>0</v>
      </c>
      <c r="L89" s="203"/>
      <c r="M89" s="203"/>
      <c r="N89" s="203"/>
      <c r="O89" s="203"/>
      <c r="P89" s="203"/>
      <c r="Q89" s="203"/>
      <c r="R89" s="263">
        <f t="shared" si="3"/>
        <v>0</v>
      </c>
      <c r="S89" s="234"/>
      <c r="T89" s="270"/>
      <c r="U89" s="271"/>
      <c r="V89" s="271"/>
      <c r="W89" s="271"/>
      <c r="X89" s="271"/>
      <c r="Y89" s="271"/>
      <c r="Z89" s="271"/>
      <c r="AA89" s="272"/>
      <c r="AB89" s="150"/>
      <c r="AC89" s="227"/>
      <c r="AD89" s="230"/>
      <c r="AE89" s="230"/>
      <c r="AF89" s="230"/>
      <c r="AG89" s="230"/>
      <c r="AH89" s="230"/>
      <c r="AI89" s="230"/>
      <c r="AJ89" s="230"/>
      <c r="AK89" s="230"/>
      <c r="AL89" s="230"/>
      <c r="AM89" s="230"/>
      <c r="AN89" s="230"/>
      <c r="AO89" s="230"/>
      <c r="AP89" s="230"/>
      <c r="AQ89" s="230"/>
      <c r="AR89" s="230"/>
      <c r="AS89" s="230"/>
      <c r="AT89" s="230"/>
      <c r="AU89" s="230"/>
      <c r="AV89" s="230"/>
      <c r="AW89" s="230"/>
      <c r="AX89" s="230"/>
      <c r="AY89" s="230"/>
      <c r="AZ89" s="227"/>
      <c r="BA89" s="227"/>
      <c r="BB89" s="227"/>
      <c r="BC89" s="227"/>
      <c r="BD89" s="227"/>
      <c r="BE89" s="227"/>
      <c r="BF89" s="227"/>
      <c r="BG89" s="227"/>
      <c r="BH89" s="227"/>
      <c r="BI89" s="227"/>
      <c r="BJ89" s="227"/>
      <c r="BK89" s="227"/>
      <c r="BL89" s="227"/>
      <c r="BM89" s="227"/>
      <c r="BN89" s="227"/>
      <c r="BO89" s="227"/>
      <c r="BP89" s="227"/>
      <c r="BQ89" s="227"/>
    </row>
    <row r="90" customHeight="1" spans="1:69">
      <c r="A90" s="234"/>
      <c r="B90" s="260"/>
      <c r="C90" s="261"/>
      <c r="D90" s="261"/>
      <c r="E90" s="261"/>
      <c r="F90" s="202" t="s">
        <v>161</v>
      </c>
      <c r="G90" s="203"/>
      <c r="H90" s="203"/>
      <c r="I90" s="203"/>
      <c r="J90" s="203"/>
      <c r="K90" s="262">
        <f t="array" ref="K90">IF(F90="S",IF(G90&lt;&gt;"",$K$15,$K$15/2),)+IF(F90="T",IF(G90&lt;&gt;"",$K$16,$K$16/2),)+IF(F90="Ag",IF(G90&lt;&gt;"",$K$17,$K$17/2),)+IF(F90="Int",IF(G90&lt;&gt;"",$K$18,_xlfn.ANCHORARRAY($K$18)/2),)+IF(F90="Per",IF(G90&lt;&gt;"",$K$19,$K$19/2),)+IF(F90="WP",IF(G90&lt;&gt;"",$K$20,_xlfn.ANCHORARRAY($K$20)/2),)+IF(F90="Fel",IF(G90&lt;&gt;"",$K$21,$K$21/2),)+IF(H90&lt;&gt;"",10,0)+IF(I90&lt;&gt;"",10,0)+IF(J90&lt;&gt;"",10,0)</f>
        <v>0</v>
      </c>
      <c r="L90" s="203"/>
      <c r="M90" s="203"/>
      <c r="N90" s="203"/>
      <c r="O90" s="203"/>
      <c r="P90" s="203"/>
      <c r="Q90" s="203"/>
      <c r="R90" s="263">
        <f t="shared" si="3"/>
        <v>0</v>
      </c>
      <c r="S90" s="234"/>
      <c r="T90" s="270"/>
      <c r="U90" s="271"/>
      <c r="V90" s="271"/>
      <c r="W90" s="271"/>
      <c r="X90" s="271"/>
      <c r="Y90" s="271"/>
      <c r="Z90" s="271"/>
      <c r="AA90" s="272"/>
      <c r="AB90" s="150"/>
      <c r="AC90" s="227"/>
      <c r="AD90" s="230"/>
      <c r="AE90" s="230"/>
      <c r="AF90" s="230"/>
      <c r="AG90" s="230"/>
      <c r="AH90" s="230"/>
      <c r="AI90" s="230"/>
      <c r="AJ90" s="230"/>
      <c r="AK90" s="230"/>
      <c r="AL90" s="230"/>
      <c r="AM90" s="230"/>
      <c r="AN90" s="230"/>
      <c r="AO90" s="230"/>
      <c r="AP90" s="230"/>
      <c r="AQ90" s="230"/>
      <c r="AR90" s="230"/>
      <c r="AS90" s="230"/>
      <c r="AT90" s="230"/>
      <c r="AU90" s="230"/>
      <c r="AV90" s="230"/>
      <c r="AW90" s="230"/>
      <c r="AX90" s="230"/>
      <c r="AY90" s="230"/>
      <c r="AZ90" s="227"/>
      <c r="BA90" s="227"/>
      <c r="BB90" s="227"/>
      <c r="BC90" s="227"/>
      <c r="BD90" s="227"/>
      <c r="BE90" s="227"/>
      <c r="BF90" s="227"/>
      <c r="BG90" s="227"/>
      <c r="BH90" s="227"/>
      <c r="BI90" s="227"/>
      <c r="BJ90" s="227"/>
      <c r="BK90" s="227"/>
      <c r="BL90" s="227"/>
      <c r="BM90" s="227"/>
      <c r="BN90" s="227"/>
      <c r="BO90" s="227"/>
      <c r="BP90" s="227"/>
      <c r="BQ90" s="227"/>
    </row>
    <row r="91" customHeight="1" spans="1:69">
      <c r="A91" s="234"/>
      <c r="B91" s="260"/>
      <c r="C91" s="261"/>
      <c r="D91" s="261"/>
      <c r="E91" s="261"/>
      <c r="F91" s="202" t="s">
        <v>161</v>
      </c>
      <c r="G91" s="203"/>
      <c r="H91" s="203"/>
      <c r="I91" s="203"/>
      <c r="J91" s="203"/>
      <c r="K91" s="262">
        <f t="array" ref="K91">IF(F91="S",IF(G91&lt;&gt;"",$K$15,$K$15/2),)+IF(F91="T",IF(G91&lt;&gt;"",$K$16,$K$16/2),)+IF(F91="Ag",IF(G91&lt;&gt;"",$K$17,$K$17/2),)+IF(F91="Int",IF(G91&lt;&gt;"",$K$18,_xlfn.ANCHORARRAY($K$18)/2),)+IF(F91="Per",IF(G91&lt;&gt;"",$K$19,$K$19/2),)+IF(F91="WP",IF(G91&lt;&gt;"",$K$20,_xlfn.ANCHORARRAY($K$20)/2),)+IF(F91="Fel",IF(G91&lt;&gt;"",$K$21,$K$21/2),)+IF(H91&lt;&gt;"",10,0)+IF(I91&lt;&gt;"",10,0)+IF(J91&lt;&gt;"",10,0)</f>
        <v>0</v>
      </c>
      <c r="L91" s="148"/>
      <c r="M91" s="148"/>
      <c r="N91" s="148"/>
      <c r="O91" s="148"/>
      <c r="P91" s="148"/>
      <c r="Q91" s="148"/>
      <c r="R91" s="263">
        <f t="shared" si="3"/>
        <v>0</v>
      </c>
      <c r="S91" s="234"/>
      <c r="T91" s="270"/>
      <c r="U91" s="271"/>
      <c r="V91" s="271"/>
      <c r="W91" s="271"/>
      <c r="X91" s="271"/>
      <c r="Y91" s="271"/>
      <c r="Z91" s="271"/>
      <c r="AA91" s="272"/>
      <c r="AB91" s="150"/>
      <c r="AC91" s="227"/>
      <c r="AD91" s="230"/>
      <c r="AE91" s="230"/>
      <c r="AF91" s="230"/>
      <c r="AG91" s="230"/>
      <c r="AH91" s="230"/>
      <c r="AI91" s="230"/>
      <c r="AJ91" s="230"/>
      <c r="AK91" s="230"/>
      <c r="AL91" s="230"/>
      <c r="AM91" s="230"/>
      <c r="AN91" s="230"/>
      <c r="AO91" s="230"/>
      <c r="AP91" s="230"/>
      <c r="AQ91" s="230"/>
      <c r="AR91" s="230"/>
      <c r="AS91" s="230"/>
      <c r="AT91" s="230"/>
      <c r="AU91" s="230"/>
      <c r="AV91" s="230"/>
      <c r="AW91" s="230"/>
      <c r="AX91" s="230"/>
      <c r="AY91" s="230"/>
      <c r="AZ91" s="227"/>
      <c r="BA91" s="227"/>
      <c r="BB91" s="227"/>
      <c r="BC91" s="227"/>
      <c r="BD91" s="227"/>
      <c r="BE91" s="227"/>
      <c r="BF91" s="227"/>
      <c r="BG91" s="227"/>
      <c r="BH91" s="227"/>
      <c r="BI91" s="227"/>
      <c r="BJ91" s="227"/>
      <c r="BK91" s="227"/>
      <c r="BL91" s="227"/>
      <c r="BM91" s="227"/>
      <c r="BN91" s="227"/>
      <c r="BO91" s="227"/>
      <c r="BP91" s="227"/>
      <c r="BQ91" s="227"/>
    </row>
    <row r="92" customHeight="1" spans="1:69">
      <c r="A92" s="234"/>
      <c r="B92" s="260"/>
      <c r="C92" s="261"/>
      <c r="D92" s="261"/>
      <c r="E92" s="261"/>
      <c r="F92" s="202" t="s">
        <v>161</v>
      </c>
      <c r="G92" s="203"/>
      <c r="H92" s="203"/>
      <c r="I92" s="203"/>
      <c r="J92" s="203"/>
      <c r="K92" s="262">
        <f t="array" ref="K92">IF(F92="S",IF(G92&lt;&gt;"",$K$15,$K$15/2),)+IF(F92="T",IF(G92&lt;&gt;"",$K$16,$K$16/2),)+IF(F92="Ag",IF(G92&lt;&gt;"",$K$17,$K$17/2),)+IF(F92="Int",IF(G92&lt;&gt;"",$K$18,_xlfn.ANCHORARRAY($K$18)/2),)+IF(F92="Per",IF(G92&lt;&gt;"",$K$19,$K$19/2),)+IF(F92="WP",IF(G92&lt;&gt;"",$K$20,_xlfn.ANCHORARRAY($K$20)/2),)+IF(F92="Fel",IF(G92&lt;&gt;"",$K$21,$K$21/2),)+IF(H92&lt;&gt;"",10,0)+IF(I92&lt;&gt;"",10,0)+IF(J92&lt;&gt;"",10,0)</f>
        <v>0</v>
      </c>
      <c r="L92" s="148"/>
      <c r="M92" s="148"/>
      <c r="N92" s="148"/>
      <c r="O92" s="148"/>
      <c r="P92" s="148"/>
      <c r="Q92" s="148"/>
      <c r="R92" s="263">
        <f t="shared" si="3"/>
        <v>0</v>
      </c>
      <c r="S92" s="234"/>
      <c r="T92" s="270"/>
      <c r="U92" s="271"/>
      <c r="V92" s="271"/>
      <c r="W92" s="271"/>
      <c r="X92" s="271"/>
      <c r="Y92" s="271"/>
      <c r="Z92" s="271"/>
      <c r="AA92" s="272"/>
      <c r="AB92" s="150"/>
      <c r="AC92" s="227"/>
      <c r="AD92" s="230"/>
      <c r="AE92" s="230"/>
      <c r="AF92" s="230"/>
      <c r="AG92" s="230"/>
      <c r="AH92" s="230"/>
      <c r="AI92" s="230"/>
      <c r="AJ92" s="230"/>
      <c r="AK92" s="230"/>
      <c r="AL92" s="230"/>
      <c r="AM92" s="230"/>
      <c r="AN92" s="230"/>
      <c r="AO92" s="230"/>
      <c r="AP92" s="230"/>
      <c r="AQ92" s="230"/>
      <c r="AR92" s="230"/>
      <c r="AS92" s="230"/>
      <c r="AT92" s="230"/>
      <c r="AU92" s="230"/>
      <c r="AV92" s="230"/>
      <c r="AW92" s="230"/>
      <c r="AX92" s="230"/>
      <c r="AY92" s="230"/>
      <c r="AZ92" s="227"/>
      <c r="BA92" s="227"/>
      <c r="BB92" s="227"/>
      <c r="BC92" s="227"/>
      <c r="BD92" s="227"/>
      <c r="BE92" s="227"/>
      <c r="BF92" s="227"/>
      <c r="BG92" s="227"/>
      <c r="BH92" s="227"/>
      <c r="BI92" s="227"/>
      <c r="BJ92" s="227"/>
      <c r="BK92" s="227"/>
      <c r="BL92" s="227"/>
      <c r="BM92" s="227"/>
      <c r="BN92" s="227"/>
      <c r="BO92" s="227"/>
      <c r="BP92" s="227"/>
      <c r="BQ92" s="227"/>
    </row>
    <row r="93" customHeight="1" spans="1:69">
      <c r="A93" s="234"/>
      <c r="B93" s="260"/>
      <c r="C93" s="261"/>
      <c r="D93" s="261"/>
      <c r="E93" s="261"/>
      <c r="F93" s="202" t="s">
        <v>161</v>
      </c>
      <c r="G93" s="203"/>
      <c r="H93" s="203"/>
      <c r="I93" s="203"/>
      <c r="J93" s="203"/>
      <c r="K93" s="262">
        <f t="array" ref="K93">IF(F93="S",IF(G93&lt;&gt;"",$K$15,$K$15/2),)+IF(F93="T",IF(G93&lt;&gt;"",$K$16,$K$16/2),)+IF(F93="Ag",IF(G93&lt;&gt;"",$K$17,$K$17/2),)+IF(F93="Int",IF(G93&lt;&gt;"",$K$18,_xlfn.ANCHORARRAY($K$18)/2),)+IF(F93="Per",IF(G93&lt;&gt;"",$K$19,$K$19/2),)+IF(F93="WP",IF(G93&lt;&gt;"",$K$20,_xlfn.ANCHORARRAY($K$20)/2),)+IF(F93="Fel",IF(G93&lt;&gt;"",$K$21,$K$21/2),)+IF(H93&lt;&gt;"",10,0)+IF(I93&lt;&gt;"",10,0)+IF(J93&lt;&gt;"",10,0)</f>
        <v>0</v>
      </c>
      <c r="L93" s="203"/>
      <c r="M93" s="203"/>
      <c r="N93" s="203"/>
      <c r="O93" s="203"/>
      <c r="P93" s="203"/>
      <c r="Q93" s="203"/>
      <c r="R93" s="263">
        <f t="shared" si="3"/>
        <v>0</v>
      </c>
      <c r="S93" s="234"/>
      <c r="T93" s="270"/>
      <c r="U93" s="271"/>
      <c r="V93" s="271"/>
      <c r="W93" s="271"/>
      <c r="X93" s="271"/>
      <c r="Y93" s="271"/>
      <c r="Z93" s="271"/>
      <c r="AA93" s="272"/>
      <c r="AB93" s="150"/>
      <c r="AC93" s="227"/>
      <c r="AD93" s="230"/>
      <c r="AE93" s="230"/>
      <c r="AF93" s="230"/>
      <c r="AG93" s="230"/>
      <c r="AH93" s="230"/>
      <c r="AI93" s="230"/>
      <c r="AJ93" s="230"/>
      <c r="AK93" s="230"/>
      <c r="AL93" s="230"/>
      <c r="AM93" s="230"/>
      <c r="AN93" s="230"/>
      <c r="AO93" s="230"/>
      <c r="AP93" s="230"/>
      <c r="AQ93" s="230"/>
      <c r="AR93" s="230"/>
      <c r="AS93" s="230"/>
      <c r="AT93" s="230"/>
      <c r="AU93" s="230"/>
      <c r="AV93" s="230"/>
      <c r="AW93" s="230"/>
      <c r="AX93" s="230"/>
      <c r="AY93" s="230"/>
      <c r="AZ93" s="227"/>
      <c r="BA93" s="227"/>
      <c r="BB93" s="227"/>
      <c r="BC93" s="227"/>
      <c r="BD93" s="227"/>
      <c r="BE93" s="227"/>
      <c r="BF93" s="227"/>
      <c r="BG93" s="227"/>
      <c r="BH93" s="227"/>
      <c r="BI93" s="227"/>
      <c r="BJ93" s="227"/>
      <c r="BK93" s="227"/>
      <c r="BL93" s="227"/>
      <c r="BM93" s="227"/>
      <c r="BN93" s="227"/>
      <c r="BO93" s="227"/>
      <c r="BP93" s="227"/>
      <c r="BQ93" s="227"/>
    </row>
    <row r="94" customHeight="1" spans="1:69">
      <c r="A94" s="234"/>
      <c r="B94" s="260"/>
      <c r="C94" s="261"/>
      <c r="D94" s="261"/>
      <c r="E94" s="261"/>
      <c r="F94" s="202" t="s">
        <v>161</v>
      </c>
      <c r="G94" s="203"/>
      <c r="H94" s="203"/>
      <c r="I94" s="203"/>
      <c r="J94" s="203"/>
      <c r="K94" s="262">
        <f t="array" ref="K94">IF(F94="S",IF(G94&lt;&gt;"",$K$15,$K$15/2),)+IF(F94="T",IF(G94&lt;&gt;"",$K$16,$K$16/2),)+IF(F94="Ag",IF(G94&lt;&gt;"",$K$17,$K$17/2),)+IF(F94="Int",IF(G94&lt;&gt;"",$K$18,_xlfn.ANCHORARRAY($K$18)/2),)+IF(F94="Per",IF(G94&lt;&gt;"",$K$19,$K$19/2),)+IF(F94="WP",IF(G94&lt;&gt;"",$K$20,_xlfn.ANCHORARRAY($K$20)/2),)+IF(F94="Fel",IF(G94&lt;&gt;"",$K$21,$K$21/2),)+IF(H94&lt;&gt;"",10,0)+IF(I94&lt;&gt;"",10,0)+IF(J94&lt;&gt;"",10,0)</f>
        <v>0</v>
      </c>
      <c r="L94" s="203"/>
      <c r="M94" s="203"/>
      <c r="N94" s="203"/>
      <c r="O94" s="203"/>
      <c r="P94" s="203"/>
      <c r="Q94" s="203"/>
      <c r="R94" s="263">
        <f t="shared" si="3"/>
        <v>0</v>
      </c>
      <c r="S94" s="234"/>
      <c r="T94" s="270"/>
      <c r="U94" s="271"/>
      <c r="V94" s="271"/>
      <c r="W94" s="271"/>
      <c r="X94" s="271"/>
      <c r="Y94" s="271"/>
      <c r="Z94" s="271"/>
      <c r="AA94" s="272"/>
      <c r="AB94" s="150"/>
      <c r="AC94" s="227"/>
      <c r="AD94" s="230"/>
      <c r="AE94" s="230"/>
      <c r="AF94" s="230"/>
      <c r="AG94" s="230"/>
      <c r="AH94" s="230"/>
      <c r="AI94" s="230"/>
      <c r="AJ94" s="230"/>
      <c r="AK94" s="230"/>
      <c r="AL94" s="230"/>
      <c r="AM94" s="230"/>
      <c r="AN94" s="230"/>
      <c r="AO94" s="230"/>
      <c r="AP94" s="230"/>
      <c r="AQ94" s="230"/>
      <c r="AR94" s="230"/>
      <c r="AS94" s="230"/>
      <c r="AT94" s="230"/>
      <c r="AU94" s="230"/>
      <c r="AV94" s="230"/>
      <c r="AW94" s="230"/>
      <c r="AX94" s="230"/>
      <c r="AY94" s="230"/>
      <c r="AZ94" s="227"/>
      <c r="BA94" s="227"/>
      <c r="BB94" s="227"/>
      <c r="BC94" s="227"/>
      <c r="BD94" s="227"/>
      <c r="BE94" s="227"/>
      <c r="BF94" s="227"/>
      <c r="BG94" s="227"/>
      <c r="BH94" s="227"/>
      <c r="BI94" s="227"/>
      <c r="BJ94" s="227"/>
      <c r="BK94" s="227"/>
      <c r="BL94" s="227"/>
      <c r="BM94" s="227"/>
      <c r="BN94" s="227"/>
      <c r="BO94" s="227"/>
      <c r="BP94" s="227"/>
      <c r="BQ94" s="227"/>
    </row>
    <row r="95" customHeight="1" spans="1:69">
      <c r="A95" s="234"/>
      <c r="B95" s="260"/>
      <c r="C95" s="261"/>
      <c r="D95" s="261"/>
      <c r="E95" s="261"/>
      <c r="F95" s="202" t="s">
        <v>161</v>
      </c>
      <c r="G95" s="203"/>
      <c r="H95" s="203"/>
      <c r="I95" s="203"/>
      <c r="J95" s="203"/>
      <c r="K95" s="262">
        <f t="array" ref="K95">IF(F95="S",IF(G95&lt;&gt;"",$K$15,$K$15/2),)+IF(F95="T",IF(G95&lt;&gt;"",$K$16,$K$16/2),)+IF(F95="Ag",IF(G95&lt;&gt;"",$K$17,$K$17/2),)+IF(F95="Int",IF(G95&lt;&gt;"",$K$18,_xlfn.ANCHORARRAY($K$18)/2),)+IF(F95="Per",IF(G95&lt;&gt;"",$K$19,$K$19/2),)+IF(F95="WP",IF(G95&lt;&gt;"",$K$20,_xlfn.ANCHORARRAY($K$20)/2),)+IF(F95="Fel",IF(G95&lt;&gt;"",$K$21,$K$21/2),)+IF(H95&lt;&gt;"",10,0)+IF(I95&lt;&gt;"",10,0)+IF(J95&lt;&gt;"",10,0)</f>
        <v>0</v>
      </c>
      <c r="L95" s="203"/>
      <c r="M95" s="203"/>
      <c r="N95" s="203"/>
      <c r="O95" s="203"/>
      <c r="P95" s="203"/>
      <c r="Q95" s="203"/>
      <c r="R95" s="263">
        <f t="shared" si="3"/>
        <v>0</v>
      </c>
      <c r="S95" s="234"/>
      <c r="T95" s="270"/>
      <c r="U95" s="271"/>
      <c r="V95" s="271"/>
      <c r="W95" s="271"/>
      <c r="X95" s="271"/>
      <c r="Y95" s="271"/>
      <c r="Z95" s="271"/>
      <c r="AA95" s="272"/>
      <c r="AB95" s="150"/>
      <c r="AC95" s="227"/>
      <c r="AD95" s="230"/>
      <c r="AE95" s="230"/>
      <c r="AF95" s="230"/>
      <c r="AG95" s="230"/>
      <c r="AH95" s="230"/>
      <c r="AI95" s="230"/>
      <c r="AJ95" s="230"/>
      <c r="AK95" s="230"/>
      <c r="AL95" s="230"/>
      <c r="AM95" s="230"/>
      <c r="AN95" s="230"/>
      <c r="AO95" s="230"/>
      <c r="AP95" s="230"/>
      <c r="AQ95" s="230"/>
      <c r="AR95" s="230"/>
      <c r="AS95" s="230"/>
      <c r="AT95" s="230"/>
      <c r="AU95" s="230"/>
      <c r="AV95" s="230"/>
      <c r="AW95" s="230"/>
      <c r="AX95" s="230"/>
      <c r="AY95" s="230"/>
      <c r="AZ95" s="227"/>
      <c r="BA95" s="227"/>
      <c r="BB95" s="227"/>
      <c r="BC95" s="227"/>
      <c r="BD95" s="227"/>
      <c r="BE95" s="227"/>
      <c r="BF95" s="227"/>
      <c r="BG95" s="227"/>
      <c r="BH95" s="227"/>
      <c r="BI95" s="227"/>
      <c r="BJ95" s="227"/>
      <c r="BK95" s="227"/>
      <c r="BL95" s="227"/>
      <c r="BM95" s="227"/>
      <c r="BN95" s="227"/>
      <c r="BO95" s="227"/>
      <c r="BP95" s="227"/>
      <c r="BQ95" s="227"/>
    </row>
    <row r="96" customHeight="1" spans="1:69">
      <c r="A96" s="234"/>
      <c r="B96" s="260"/>
      <c r="C96" s="261"/>
      <c r="D96" s="261"/>
      <c r="E96" s="261"/>
      <c r="F96" s="202" t="s">
        <v>161</v>
      </c>
      <c r="G96" s="203"/>
      <c r="H96" s="203"/>
      <c r="I96" s="203"/>
      <c r="J96" s="203"/>
      <c r="K96" s="262">
        <f t="array" ref="K96">IF(F96="S",IF(G96&lt;&gt;"",$K$15,$K$15/2),)+IF(F96="T",IF(G96&lt;&gt;"",$K$16,$K$16/2),)+IF(F96="Ag",IF(G96&lt;&gt;"",$K$17,$K$17/2),)+IF(F96="Int",IF(G96&lt;&gt;"",$K$18,_xlfn.ANCHORARRAY($K$18)/2),)+IF(F96="Per",IF(G96&lt;&gt;"",$K$19,$K$19/2),)+IF(F96="WP",IF(G96&lt;&gt;"",$K$20,_xlfn.ANCHORARRAY($K$20)/2),)+IF(F96="Fel",IF(G96&lt;&gt;"",$K$21,$K$21/2),)+IF(H96&lt;&gt;"",10,0)+IF(I96&lt;&gt;"",10,0)+IF(J96&lt;&gt;"",10,0)</f>
        <v>0</v>
      </c>
      <c r="L96" s="203"/>
      <c r="M96" s="203"/>
      <c r="N96" s="203"/>
      <c r="O96" s="203"/>
      <c r="P96" s="203"/>
      <c r="Q96" s="203"/>
      <c r="R96" s="263">
        <f t="shared" si="3"/>
        <v>0</v>
      </c>
      <c r="S96" s="234"/>
      <c r="T96" s="270"/>
      <c r="U96" s="271"/>
      <c r="V96" s="271"/>
      <c r="W96" s="271"/>
      <c r="X96" s="271"/>
      <c r="Y96" s="271"/>
      <c r="Z96" s="271"/>
      <c r="AA96" s="272"/>
      <c r="AB96" s="150"/>
      <c r="AC96" s="227"/>
      <c r="AD96" s="230"/>
      <c r="AE96" s="230"/>
      <c r="AF96" s="230"/>
      <c r="AG96" s="230"/>
      <c r="AH96" s="230"/>
      <c r="AI96" s="230"/>
      <c r="AJ96" s="230"/>
      <c r="AK96" s="230"/>
      <c r="AL96" s="230"/>
      <c r="AM96" s="230"/>
      <c r="AN96" s="230"/>
      <c r="AO96" s="230"/>
      <c r="AP96" s="230"/>
      <c r="AQ96" s="230"/>
      <c r="AR96" s="230"/>
      <c r="AS96" s="230"/>
      <c r="AT96" s="230"/>
      <c r="AU96" s="230"/>
      <c r="AV96" s="230"/>
      <c r="AW96" s="230"/>
      <c r="AX96" s="230"/>
      <c r="AY96" s="230"/>
      <c r="AZ96" s="227"/>
      <c r="BA96" s="227"/>
      <c r="BB96" s="227"/>
      <c r="BC96" s="227"/>
      <c r="BD96" s="227"/>
      <c r="BE96" s="227"/>
      <c r="BF96" s="227"/>
      <c r="BG96" s="227"/>
      <c r="BH96" s="227"/>
      <c r="BI96" s="227"/>
      <c r="BJ96" s="227"/>
      <c r="BK96" s="227"/>
      <c r="BL96" s="227"/>
      <c r="BM96" s="227"/>
      <c r="BN96" s="227"/>
      <c r="BO96" s="227"/>
      <c r="BP96" s="227"/>
      <c r="BQ96" s="227"/>
    </row>
    <row r="97" customHeight="1" spans="1:69">
      <c r="A97" s="234"/>
      <c r="B97" s="260"/>
      <c r="C97" s="261"/>
      <c r="D97" s="261"/>
      <c r="E97" s="261"/>
      <c r="F97" s="202" t="s">
        <v>161</v>
      </c>
      <c r="G97" s="203"/>
      <c r="H97" s="203"/>
      <c r="I97" s="203"/>
      <c r="J97" s="203"/>
      <c r="K97" s="262">
        <f t="array" ref="K97">IF(F97="S",IF(G97&lt;&gt;"",$K$15,$K$15/2),)+IF(F97="T",IF(G97&lt;&gt;"",$K$16,$K$16/2),)+IF(F97="Ag",IF(G97&lt;&gt;"",$K$17,$K$17/2),)+IF(F97="Int",IF(G97&lt;&gt;"",$K$18,_xlfn.ANCHORARRAY($K$18)/2),)+IF(F97="Per",IF(G97&lt;&gt;"",$K$19,$K$19/2),)+IF(F97="WP",IF(G97&lt;&gt;"",$K$20,_xlfn.ANCHORARRAY($K$20)/2),)+IF(F97="Fel",IF(G97&lt;&gt;"",$K$21,$K$21/2),)+IF(H97&lt;&gt;"",10,0)+IF(I97&lt;&gt;"",10,0)+IF(J97&lt;&gt;"",10,0)</f>
        <v>0</v>
      </c>
      <c r="L97" s="203"/>
      <c r="M97" s="203"/>
      <c r="N97" s="203"/>
      <c r="O97" s="203"/>
      <c r="P97" s="203"/>
      <c r="Q97" s="203"/>
      <c r="R97" s="263">
        <f t="shared" si="3"/>
        <v>0</v>
      </c>
      <c r="S97" s="234"/>
      <c r="T97" s="270"/>
      <c r="U97" s="271"/>
      <c r="V97" s="271"/>
      <c r="W97" s="271"/>
      <c r="X97" s="271"/>
      <c r="Y97" s="271"/>
      <c r="Z97" s="271"/>
      <c r="AA97" s="272"/>
      <c r="AB97" s="150"/>
      <c r="AC97" s="227"/>
      <c r="AD97" s="230"/>
      <c r="AE97" s="230"/>
      <c r="AF97" s="230"/>
      <c r="AG97" s="230"/>
      <c r="AH97" s="230"/>
      <c r="AI97" s="230"/>
      <c r="AJ97" s="230"/>
      <c r="AK97" s="230"/>
      <c r="AL97" s="230"/>
      <c r="AM97" s="230"/>
      <c r="AN97" s="230"/>
      <c r="AO97" s="230"/>
      <c r="AP97" s="230"/>
      <c r="AQ97" s="230"/>
      <c r="AR97" s="230"/>
      <c r="AS97" s="230"/>
      <c r="AT97" s="230"/>
      <c r="AU97" s="230"/>
      <c r="AV97" s="230"/>
      <c r="AW97" s="230"/>
      <c r="AX97" s="230"/>
      <c r="AY97" s="230"/>
      <c r="AZ97" s="227"/>
      <c r="BA97" s="227"/>
      <c r="BB97" s="227"/>
      <c r="BC97" s="227"/>
      <c r="BD97" s="227"/>
      <c r="BE97" s="227"/>
      <c r="BF97" s="227"/>
      <c r="BG97" s="227"/>
      <c r="BH97" s="227"/>
      <c r="BI97" s="227"/>
      <c r="BJ97" s="227"/>
      <c r="BK97" s="227"/>
      <c r="BL97" s="227"/>
      <c r="BM97" s="227"/>
      <c r="BN97" s="227"/>
      <c r="BO97" s="227"/>
      <c r="BP97" s="227"/>
      <c r="BQ97" s="227"/>
    </row>
    <row r="98" customHeight="1" spans="1:69">
      <c r="A98" s="234"/>
      <c r="B98" s="260"/>
      <c r="C98" s="261"/>
      <c r="D98" s="261"/>
      <c r="E98" s="261"/>
      <c r="F98" s="202" t="s">
        <v>161</v>
      </c>
      <c r="G98" s="203"/>
      <c r="H98" s="203"/>
      <c r="I98" s="203"/>
      <c r="J98" s="203"/>
      <c r="K98" s="262">
        <f t="array" ref="K98">IF(F98="S",IF(G98&lt;&gt;"",$K$15,$K$15/2),)+IF(F98="T",IF(G98&lt;&gt;"",$K$16,$K$16/2),)+IF(F98="Ag",IF(G98&lt;&gt;"",$K$17,$K$17/2),)+IF(F98="Int",IF(G98&lt;&gt;"",$K$18,_xlfn.ANCHORARRAY($K$18)/2),)+IF(F98="Per",IF(G98&lt;&gt;"",$K$19,$K$19/2),)+IF(F98="WP",IF(G98&lt;&gt;"",$K$20,_xlfn.ANCHORARRAY($K$20)/2),)+IF(F98="Fel",IF(G98&lt;&gt;"",$K$21,$K$21/2),)+IF(H98&lt;&gt;"",10,0)+IF(I98&lt;&gt;"",10,0)+IF(J98&lt;&gt;"",10,0)</f>
        <v>0</v>
      </c>
      <c r="L98" s="203"/>
      <c r="M98" s="203"/>
      <c r="N98" s="203"/>
      <c r="O98" s="203"/>
      <c r="P98" s="203"/>
      <c r="Q98" s="203"/>
      <c r="R98" s="263">
        <f t="shared" si="3"/>
        <v>0</v>
      </c>
      <c r="S98" s="234"/>
      <c r="T98" s="267"/>
      <c r="U98" s="268"/>
      <c r="V98" s="268"/>
      <c r="W98" s="268"/>
      <c r="X98" s="268"/>
      <c r="Y98" s="268"/>
      <c r="Z98" s="268"/>
      <c r="AA98" s="269"/>
      <c r="AB98" s="150"/>
      <c r="AC98" s="227"/>
      <c r="AD98" s="230"/>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27"/>
      <c r="BA98" s="227"/>
      <c r="BB98" s="227"/>
      <c r="BC98" s="227"/>
      <c r="BD98" s="227"/>
      <c r="BE98" s="227"/>
      <c r="BF98" s="227"/>
      <c r="BG98" s="227"/>
      <c r="BH98" s="227"/>
      <c r="BI98" s="227"/>
      <c r="BJ98" s="227"/>
      <c r="BK98" s="227"/>
      <c r="BL98" s="227"/>
      <c r="BM98" s="227"/>
      <c r="BN98" s="227"/>
      <c r="BO98" s="227"/>
      <c r="BP98" s="227"/>
      <c r="BQ98" s="227"/>
    </row>
    <row r="99" customHeight="1" spans="1:69">
      <c r="A99" s="234"/>
      <c r="B99" s="187"/>
      <c r="C99" s="150"/>
      <c r="D99" s="150"/>
      <c r="E99" s="150"/>
      <c r="F99" s="150"/>
      <c r="G99" s="150"/>
      <c r="H99" s="150"/>
      <c r="I99" s="150"/>
      <c r="J99" s="150"/>
      <c r="K99" s="150"/>
      <c r="L99" s="150"/>
      <c r="M99" s="150"/>
      <c r="N99" s="150"/>
      <c r="O99" s="150"/>
      <c r="P99" s="150"/>
      <c r="Q99" s="150"/>
      <c r="R99" s="274">
        <f>SUM(R73:R98)</f>
        <v>0</v>
      </c>
      <c r="S99" s="234"/>
      <c r="T99" s="187"/>
      <c r="U99" s="150"/>
      <c r="V99" s="150"/>
      <c r="W99" s="150"/>
      <c r="X99" s="150"/>
      <c r="Y99" s="150"/>
      <c r="Z99" s="160"/>
      <c r="AA99" s="160"/>
      <c r="AB99" s="150"/>
      <c r="AD99" s="230"/>
      <c r="AE99" s="230"/>
      <c r="AF99" s="230"/>
      <c r="AG99" s="230"/>
      <c r="AH99" s="230"/>
      <c r="AI99" s="230"/>
      <c r="AJ99" s="230"/>
      <c r="AK99" s="230"/>
      <c r="AL99" s="230"/>
      <c r="AM99" s="230"/>
      <c r="AN99" s="230"/>
      <c r="AO99" s="230"/>
      <c r="AP99" s="230"/>
      <c r="AQ99" s="230"/>
      <c r="AR99" s="230"/>
      <c r="AS99" s="230"/>
      <c r="AT99" s="230"/>
      <c r="AU99" s="230"/>
      <c r="AV99" s="230"/>
      <c r="AW99" s="230"/>
      <c r="AX99" s="230"/>
      <c r="AY99" s="230"/>
      <c r="AZ99" s="227"/>
      <c r="BA99" s="227"/>
      <c r="BB99" s="227"/>
      <c r="BC99" s="227"/>
      <c r="BD99" s="227"/>
      <c r="BE99" s="227"/>
      <c r="BF99" s="227"/>
      <c r="BG99" s="227"/>
      <c r="BH99" s="227"/>
      <c r="BI99" s="227"/>
      <c r="BJ99" s="227"/>
      <c r="BK99" s="227"/>
      <c r="BL99" s="227"/>
      <c r="BM99" s="227"/>
      <c r="BN99" s="227"/>
      <c r="BO99" s="227"/>
      <c r="BP99" s="227"/>
      <c r="BQ99" s="227"/>
    </row>
    <row r="100" customHeight="1" spans="1:69">
      <c r="A100" s="234"/>
      <c r="B100" s="275" t="s">
        <v>164</v>
      </c>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150"/>
      <c r="AD100" s="230"/>
      <c r="AE100" s="230"/>
      <c r="AF100" s="230"/>
      <c r="AG100" s="230"/>
      <c r="AH100" s="230"/>
      <c r="AI100" s="230"/>
      <c r="AJ100" s="230"/>
      <c r="AK100" s="230"/>
      <c r="AL100" s="230"/>
      <c r="AM100" s="230"/>
      <c r="AN100" s="230"/>
      <c r="AO100" s="230"/>
      <c r="AP100" s="230"/>
      <c r="AQ100" s="230"/>
      <c r="AR100" s="230"/>
      <c r="AS100" s="230"/>
      <c r="AT100" s="230"/>
      <c r="AU100" s="230"/>
      <c r="AV100" s="230"/>
      <c r="AW100" s="230"/>
      <c r="AX100" s="230"/>
      <c r="AY100" s="230"/>
      <c r="AZ100" s="227"/>
      <c r="BA100" s="227"/>
      <c r="BB100" s="227"/>
      <c r="BC100" s="227"/>
      <c r="BD100" s="227"/>
      <c r="BE100" s="227"/>
      <c r="BF100" s="227"/>
      <c r="BG100" s="227"/>
      <c r="BH100" s="227"/>
      <c r="BI100" s="227"/>
      <c r="BJ100" s="227"/>
      <c r="BK100" s="227"/>
      <c r="BL100" s="227"/>
      <c r="BM100" s="227"/>
      <c r="BN100" s="227"/>
      <c r="BO100" s="227"/>
      <c r="BP100" s="227"/>
      <c r="BQ100" s="227"/>
    </row>
    <row r="101" customHeight="1" spans="1:69">
      <c r="A101" s="234"/>
      <c r="B101" s="276" t="s">
        <v>109</v>
      </c>
      <c r="C101" s="277"/>
      <c r="D101" s="277"/>
      <c r="E101" s="277"/>
      <c r="F101" s="277"/>
      <c r="G101" s="278"/>
      <c r="H101" s="279" t="s">
        <v>36</v>
      </c>
      <c r="I101" s="280" t="s">
        <v>165</v>
      </c>
      <c r="J101" s="281"/>
      <c r="K101" s="281"/>
      <c r="L101" s="281"/>
      <c r="M101" s="281"/>
      <c r="N101" s="281"/>
      <c r="O101" s="281"/>
      <c r="P101" s="281"/>
      <c r="Q101" s="281"/>
      <c r="R101" s="281"/>
      <c r="S101" s="281"/>
      <c r="T101" s="281"/>
      <c r="U101" s="281"/>
      <c r="V101" s="281"/>
      <c r="W101" s="281"/>
      <c r="X101" s="281"/>
      <c r="Y101" s="281"/>
      <c r="Z101" s="281"/>
      <c r="AA101" s="282"/>
      <c r="AB101" s="187"/>
      <c r="AD101" s="230"/>
      <c r="AE101" s="230"/>
      <c r="AF101" s="230"/>
      <c r="AG101" s="230"/>
      <c r="AH101" s="230"/>
      <c r="AI101" s="230"/>
      <c r="AJ101" s="230"/>
      <c r="AK101" s="230"/>
      <c r="AL101" s="230"/>
      <c r="AM101" s="230"/>
      <c r="AN101" s="230"/>
      <c r="AO101" s="230"/>
      <c r="AP101" s="230"/>
      <c r="AQ101" s="230"/>
      <c r="AR101" s="230"/>
      <c r="AS101" s="230"/>
      <c r="AT101" s="230"/>
      <c r="AU101" s="230"/>
      <c r="AV101" s="230"/>
      <c r="AW101" s="230"/>
      <c r="AX101" s="230"/>
      <c r="AY101" s="230"/>
      <c r="AZ101" s="227"/>
      <c r="BA101" s="227"/>
      <c r="BB101" s="227"/>
      <c r="BC101" s="227"/>
      <c r="BD101" s="227"/>
      <c r="BE101" s="227"/>
      <c r="BF101" s="227"/>
      <c r="BG101" s="227"/>
      <c r="BH101" s="227"/>
      <c r="BI101" s="227"/>
      <c r="BJ101" s="227"/>
      <c r="BK101" s="227"/>
      <c r="BL101" s="227"/>
      <c r="BM101" s="227"/>
      <c r="BN101" s="227"/>
      <c r="BO101" s="227"/>
      <c r="BP101" s="227"/>
      <c r="BQ101" s="227"/>
    </row>
    <row r="102" customHeight="1" spans="1:69">
      <c r="A102" s="234"/>
      <c r="B102" s="283"/>
      <c r="C102" s="209"/>
      <c r="D102" s="209"/>
      <c r="E102" s="209"/>
      <c r="F102" s="209"/>
      <c r="G102" s="209"/>
      <c r="H102" s="284"/>
      <c r="I102" s="285"/>
      <c r="J102" s="285"/>
      <c r="K102" s="285"/>
      <c r="L102" s="285"/>
      <c r="M102" s="285"/>
      <c r="N102" s="285"/>
      <c r="O102" s="285"/>
      <c r="P102" s="285"/>
      <c r="Q102" s="285"/>
      <c r="R102" s="285"/>
      <c r="S102" s="285"/>
      <c r="T102" s="285"/>
      <c r="U102" s="285"/>
      <c r="V102" s="285"/>
      <c r="W102" s="285"/>
      <c r="X102" s="285"/>
      <c r="Y102" s="285"/>
      <c r="Z102" s="285"/>
      <c r="AA102" s="285"/>
      <c r="AB102" s="15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27"/>
      <c r="BA102" s="227"/>
      <c r="BB102" s="227"/>
      <c r="BC102" s="227"/>
      <c r="BD102" s="227"/>
      <c r="BE102" s="227"/>
      <c r="BF102" s="227"/>
      <c r="BG102" s="227"/>
      <c r="BH102" s="227"/>
      <c r="BI102" s="227"/>
      <c r="BJ102" s="227"/>
      <c r="BK102" s="227"/>
      <c r="BL102" s="227"/>
      <c r="BM102" s="227"/>
      <c r="BN102" s="227"/>
      <c r="BO102" s="227"/>
      <c r="BP102" s="227"/>
      <c r="BQ102" s="227"/>
    </row>
    <row r="103" customHeight="1" spans="1:69">
      <c r="A103" s="234"/>
      <c r="B103" s="283"/>
      <c r="C103" s="209"/>
      <c r="D103" s="209"/>
      <c r="E103" s="209"/>
      <c r="F103" s="209"/>
      <c r="G103" s="209"/>
      <c r="H103" s="284"/>
      <c r="I103" s="285"/>
      <c r="J103" s="285"/>
      <c r="K103" s="285"/>
      <c r="L103" s="285"/>
      <c r="M103" s="285"/>
      <c r="N103" s="285"/>
      <c r="O103" s="285"/>
      <c r="P103" s="285"/>
      <c r="Q103" s="285"/>
      <c r="R103" s="285"/>
      <c r="S103" s="285"/>
      <c r="T103" s="285"/>
      <c r="U103" s="285"/>
      <c r="V103" s="285"/>
      <c r="W103" s="285"/>
      <c r="X103" s="285"/>
      <c r="Y103" s="285"/>
      <c r="Z103" s="285"/>
      <c r="AA103" s="285"/>
      <c r="AB103" s="15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27"/>
      <c r="BA103" s="227"/>
      <c r="BB103" s="227"/>
      <c r="BC103" s="227"/>
      <c r="BD103" s="227"/>
      <c r="BE103" s="227"/>
      <c r="BF103" s="227"/>
      <c r="BG103" s="227"/>
      <c r="BH103" s="227"/>
      <c r="BI103" s="227"/>
      <c r="BJ103" s="227"/>
      <c r="BK103" s="227"/>
      <c r="BL103" s="227"/>
      <c r="BM103" s="227"/>
      <c r="BN103" s="227"/>
      <c r="BO103" s="227"/>
      <c r="BP103" s="227"/>
      <c r="BQ103" s="227"/>
    </row>
    <row r="104" customHeight="1" spans="1:69">
      <c r="A104" s="234"/>
      <c r="B104" s="283"/>
      <c r="C104" s="209"/>
      <c r="D104" s="209"/>
      <c r="E104" s="209"/>
      <c r="F104" s="209"/>
      <c r="G104" s="209"/>
      <c r="H104" s="284"/>
      <c r="I104" s="285"/>
      <c r="J104" s="285"/>
      <c r="K104" s="285"/>
      <c r="L104" s="285"/>
      <c r="M104" s="285"/>
      <c r="N104" s="285"/>
      <c r="O104" s="285"/>
      <c r="P104" s="285"/>
      <c r="Q104" s="285"/>
      <c r="R104" s="285"/>
      <c r="S104" s="285"/>
      <c r="T104" s="285"/>
      <c r="U104" s="285"/>
      <c r="V104" s="285"/>
      <c r="W104" s="285"/>
      <c r="X104" s="285"/>
      <c r="Y104" s="285"/>
      <c r="Z104" s="285"/>
      <c r="AA104" s="285"/>
      <c r="AB104" s="15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27"/>
      <c r="BA104" s="227"/>
      <c r="BB104" s="227"/>
      <c r="BC104" s="227"/>
      <c r="BD104" s="227"/>
      <c r="BE104" s="227"/>
      <c r="BF104" s="227"/>
      <c r="BG104" s="227"/>
      <c r="BH104" s="227"/>
      <c r="BI104" s="227"/>
      <c r="BJ104" s="227"/>
      <c r="BK104" s="227"/>
      <c r="BL104" s="227"/>
      <c r="BM104" s="227"/>
      <c r="BN104" s="227"/>
      <c r="BO104" s="227"/>
      <c r="BP104" s="227"/>
      <c r="BQ104" s="227"/>
    </row>
    <row r="105" customHeight="1" spans="1:69">
      <c r="A105" s="234"/>
      <c r="B105" s="286" t="s">
        <v>166</v>
      </c>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150"/>
      <c r="AD105" s="230"/>
      <c r="AE105" s="230"/>
      <c r="AF105" s="230"/>
      <c r="AG105" s="230"/>
      <c r="AH105" s="230"/>
      <c r="AI105" s="230"/>
      <c r="AJ105" s="230"/>
      <c r="AK105" s="230"/>
      <c r="AL105" s="230"/>
      <c r="AM105" s="230"/>
      <c r="AN105" s="230"/>
      <c r="AO105" s="230"/>
      <c r="AP105" s="230"/>
      <c r="AQ105" s="230"/>
      <c r="AR105" s="230"/>
      <c r="AS105" s="230"/>
      <c r="AT105" s="230"/>
      <c r="AU105" s="230"/>
      <c r="AV105" s="230"/>
      <c r="AW105" s="230"/>
      <c r="AX105" s="230"/>
      <c r="AY105" s="230"/>
      <c r="AZ105" s="227"/>
      <c r="BA105" s="227"/>
      <c r="BB105" s="227"/>
      <c r="BC105" s="227"/>
      <c r="BD105" s="227"/>
      <c r="BE105" s="227"/>
      <c r="BF105" s="227"/>
      <c r="BG105" s="227"/>
      <c r="BH105" s="227"/>
      <c r="BI105" s="227"/>
      <c r="BJ105" s="227"/>
      <c r="BK105" s="227"/>
      <c r="BL105" s="227"/>
      <c r="BM105" s="227"/>
      <c r="BN105" s="227"/>
      <c r="BO105" s="227"/>
      <c r="BP105" s="227"/>
      <c r="BQ105" s="227"/>
    </row>
    <row r="106" customHeight="1" spans="1:69">
      <c r="A106" s="234"/>
      <c r="B106" s="276" t="s">
        <v>109</v>
      </c>
      <c r="C106" s="277"/>
      <c r="D106" s="277"/>
      <c r="E106" s="277"/>
      <c r="F106" s="277"/>
      <c r="G106" s="278"/>
      <c r="H106" s="279" t="s">
        <v>36</v>
      </c>
      <c r="I106" s="280" t="s">
        <v>165</v>
      </c>
      <c r="J106" s="281"/>
      <c r="K106" s="281"/>
      <c r="L106" s="281"/>
      <c r="M106" s="281"/>
      <c r="N106" s="281"/>
      <c r="O106" s="281"/>
      <c r="P106" s="281"/>
      <c r="Q106" s="281"/>
      <c r="R106" s="281"/>
      <c r="S106" s="281"/>
      <c r="T106" s="281"/>
      <c r="U106" s="281"/>
      <c r="V106" s="281"/>
      <c r="W106" s="281"/>
      <c r="X106" s="281"/>
      <c r="Y106" s="281"/>
      <c r="Z106" s="281"/>
      <c r="AA106" s="282"/>
      <c r="AB106" s="150"/>
      <c r="AD106" s="230"/>
      <c r="AE106" s="230"/>
      <c r="AF106" s="230"/>
      <c r="AG106" s="230"/>
      <c r="AH106" s="230"/>
      <c r="AI106" s="230"/>
      <c r="AJ106" s="230"/>
      <c r="AK106" s="230"/>
      <c r="AL106" s="230"/>
      <c r="AM106" s="230"/>
      <c r="AN106" s="230"/>
      <c r="AO106" s="230"/>
      <c r="AP106" s="230"/>
      <c r="AQ106" s="230"/>
      <c r="AR106" s="230"/>
      <c r="AS106" s="230"/>
      <c r="AT106" s="230"/>
      <c r="AU106" s="230"/>
      <c r="AV106" s="230"/>
      <c r="AW106" s="230"/>
      <c r="AX106" s="230"/>
      <c r="AY106" s="230"/>
      <c r="AZ106" s="227"/>
      <c r="BA106" s="227"/>
      <c r="BB106" s="227"/>
      <c r="BC106" s="227"/>
      <c r="BD106" s="227"/>
      <c r="BE106" s="227"/>
      <c r="BF106" s="227"/>
      <c r="BG106" s="227"/>
      <c r="BH106" s="227"/>
      <c r="BI106" s="227"/>
      <c r="BJ106" s="227"/>
      <c r="BK106" s="227"/>
      <c r="BL106" s="227"/>
      <c r="BM106" s="227"/>
      <c r="BN106" s="227"/>
      <c r="BO106" s="227"/>
      <c r="BP106" s="227"/>
      <c r="BQ106" s="227"/>
    </row>
    <row r="107" customHeight="1" spans="1:69">
      <c r="A107" s="234"/>
      <c r="B107" s="283"/>
      <c r="C107" s="209"/>
      <c r="D107" s="209"/>
      <c r="E107" s="209"/>
      <c r="F107" s="209"/>
      <c r="G107" s="209"/>
      <c r="H107" s="284"/>
      <c r="I107" s="285"/>
      <c r="J107" s="285"/>
      <c r="K107" s="285"/>
      <c r="L107" s="285"/>
      <c r="M107" s="285"/>
      <c r="N107" s="285"/>
      <c r="O107" s="285"/>
      <c r="P107" s="285"/>
      <c r="Q107" s="285"/>
      <c r="R107" s="285"/>
      <c r="S107" s="285"/>
      <c r="T107" s="285"/>
      <c r="U107" s="285"/>
      <c r="V107" s="285"/>
      <c r="W107" s="285"/>
      <c r="X107" s="285"/>
      <c r="Y107" s="285"/>
      <c r="Z107" s="285"/>
      <c r="AA107" s="285"/>
      <c r="AB107" s="150"/>
      <c r="AD107" s="230"/>
      <c r="AE107" s="230"/>
      <c r="AF107" s="230"/>
      <c r="AG107" s="230"/>
      <c r="AH107" s="230"/>
      <c r="AI107" s="230"/>
      <c r="AJ107" s="230"/>
      <c r="AK107" s="230"/>
      <c r="AL107" s="230"/>
      <c r="AM107" s="230"/>
      <c r="AN107" s="230"/>
      <c r="AO107" s="230"/>
      <c r="AP107" s="230"/>
      <c r="AQ107" s="230"/>
      <c r="AR107" s="230"/>
      <c r="AS107" s="230"/>
      <c r="AT107" s="230"/>
      <c r="AU107" s="230"/>
      <c r="AV107" s="230"/>
      <c r="AW107" s="230"/>
      <c r="AX107" s="230"/>
      <c r="AY107" s="230"/>
      <c r="AZ107" s="227"/>
      <c r="BA107" s="227"/>
      <c r="BB107" s="227"/>
      <c r="BC107" s="227"/>
      <c r="BD107" s="227"/>
      <c r="BE107" s="227"/>
      <c r="BF107" s="227"/>
      <c r="BG107" s="227"/>
      <c r="BH107" s="227"/>
      <c r="BI107" s="227"/>
      <c r="BJ107" s="227"/>
      <c r="BK107" s="227"/>
      <c r="BL107" s="227"/>
      <c r="BM107" s="227"/>
      <c r="BN107" s="227"/>
      <c r="BO107" s="227"/>
      <c r="BP107" s="227"/>
      <c r="BQ107" s="227"/>
    </row>
    <row r="108" customHeight="1" spans="1:69">
      <c r="A108" s="234"/>
      <c r="B108" s="283"/>
      <c r="C108" s="209"/>
      <c r="D108" s="209"/>
      <c r="E108" s="209"/>
      <c r="F108" s="209"/>
      <c r="G108" s="209"/>
      <c r="H108" s="284"/>
      <c r="I108" s="285"/>
      <c r="J108" s="285"/>
      <c r="K108" s="285"/>
      <c r="L108" s="285"/>
      <c r="M108" s="285"/>
      <c r="N108" s="285"/>
      <c r="O108" s="285"/>
      <c r="P108" s="285"/>
      <c r="Q108" s="285"/>
      <c r="R108" s="285"/>
      <c r="S108" s="285"/>
      <c r="T108" s="285"/>
      <c r="U108" s="285"/>
      <c r="V108" s="285"/>
      <c r="W108" s="285"/>
      <c r="X108" s="285"/>
      <c r="Y108" s="285"/>
      <c r="Z108" s="285"/>
      <c r="AA108" s="285"/>
      <c r="AB108" s="150"/>
      <c r="AD108" s="230"/>
      <c r="AE108" s="230"/>
      <c r="AF108" s="230"/>
      <c r="AG108" s="230"/>
      <c r="AH108" s="230"/>
      <c r="AI108" s="230"/>
      <c r="AJ108" s="230"/>
      <c r="AK108" s="230"/>
      <c r="AL108" s="230"/>
      <c r="AM108" s="230"/>
      <c r="AN108" s="230"/>
      <c r="AO108" s="230"/>
      <c r="AP108" s="230"/>
      <c r="AQ108" s="230"/>
      <c r="AR108" s="230"/>
      <c r="AS108" s="230"/>
      <c r="AT108" s="230"/>
      <c r="AU108" s="230"/>
      <c r="AV108" s="230"/>
      <c r="AW108" s="230"/>
      <c r="AX108" s="230"/>
      <c r="AY108" s="230"/>
      <c r="AZ108" s="227"/>
      <c r="BA108" s="227"/>
      <c r="BB108" s="227"/>
      <c r="BC108" s="227"/>
      <c r="BD108" s="227"/>
      <c r="BE108" s="227"/>
      <c r="BF108" s="227"/>
      <c r="BG108" s="227"/>
      <c r="BH108" s="227"/>
      <c r="BI108" s="227"/>
      <c r="BJ108" s="227"/>
      <c r="BK108" s="227"/>
      <c r="BL108" s="227"/>
      <c r="BM108" s="227"/>
      <c r="BN108" s="227"/>
      <c r="BO108" s="227"/>
      <c r="BP108" s="227"/>
      <c r="BQ108" s="227"/>
    </row>
    <row r="109" customHeight="1" spans="1:69">
      <c r="A109" s="234"/>
      <c r="B109" s="287"/>
      <c r="C109" s="287"/>
      <c r="D109" s="287"/>
      <c r="E109" s="287"/>
      <c r="F109" s="287"/>
      <c r="G109" s="287"/>
      <c r="H109" s="287">
        <f>SUM(H102:H104)+SUM(H107:H108)</f>
        <v>0</v>
      </c>
      <c r="I109" s="287"/>
      <c r="J109" s="287"/>
      <c r="K109" s="287"/>
      <c r="L109" s="287"/>
      <c r="M109" s="287"/>
      <c r="N109" s="287"/>
      <c r="O109" s="287"/>
      <c r="P109" s="287"/>
      <c r="Q109" s="287"/>
      <c r="R109" s="287"/>
      <c r="S109" s="287"/>
      <c r="T109" s="287"/>
      <c r="U109" s="287"/>
      <c r="V109" s="287"/>
      <c r="W109" s="287"/>
      <c r="X109" s="287"/>
      <c r="Y109" s="287"/>
      <c r="Z109" s="287"/>
      <c r="AA109" s="287"/>
      <c r="AB109" s="150"/>
      <c r="AD109" s="230"/>
      <c r="AE109" s="230"/>
      <c r="AF109" s="230"/>
      <c r="AG109" s="230"/>
      <c r="AH109" s="230"/>
      <c r="AI109" s="230"/>
      <c r="AJ109" s="230"/>
      <c r="AK109" s="230"/>
      <c r="AL109" s="230"/>
      <c r="AM109" s="230"/>
      <c r="AN109" s="230"/>
      <c r="AO109" s="230"/>
      <c r="AP109" s="230"/>
      <c r="AQ109" s="230"/>
      <c r="AR109" s="230"/>
      <c r="AS109" s="230"/>
      <c r="AT109" s="230"/>
      <c r="AU109" s="230"/>
      <c r="AV109" s="230"/>
      <c r="AW109" s="230"/>
      <c r="AX109" s="230"/>
      <c r="AY109" s="230"/>
      <c r="AZ109" s="227"/>
      <c r="BA109" s="227"/>
      <c r="BB109" s="227"/>
      <c r="BC109" s="227"/>
      <c r="BD109" s="227"/>
      <c r="BE109" s="227"/>
      <c r="BF109" s="227"/>
      <c r="BG109" s="227"/>
      <c r="BH109" s="227"/>
      <c r="BI109" s="227"/>
      <c r="BJ109" s="227"/>
      <c r="BK109" s="227"/>
      <c r="BL109" s="227"/>
      <c r="BM109" s="227"/>
      <c r="BN109" s="227"/>
      <c r="BO109" s="227"/>
      <c r="BP109" s="227"/>
      <c r="BQ109" s="227"/>
    </row>
    <row r="110" customHeight="1" spans="1:69">
      <c r="A110" s="234"/>
      <c r="B110" s="286" t="s">
        <v>167</v>
      </c>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15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27"/>
      <c r="BA110" s="227"/>
      <c r="BB110" s="227"/>
      <c r="BC110" s="227"/>
      <c r="BD110" s="227"/>
      <c r="BE110" s="227"/>
      <c r="BF110" s="227"/>
      <c r="BG110" s="227"/>
      <c r="BH110" s="227"/>
      <c r="BI110" s="227"/>
      <c r="BJ110" s="227"/>
      <c r="BK110" s="227"/>
      <c r="BL110" s="227"/>
      <c r="BM110" s="227"/>
      <c r="BN110" s="227"/>
      <c r="BO110" s="227"/>
      <c r="BP110" s="227"/>
      <c r="BQ110" s="227"/>
    </row>
    <row r="111" customHeight="1" spans="1:69">
      <c r="A111" s="234"/>
      <c r="B111" s="288" t="s">
        <v>168</v>
      </c>
      <c r="C111" s="255" t="s">
        <v>109</v>
      </c>
      <c r="D111" s="255"/>
      <c r="E111" s="255"/>
      <c r="F111" s="255"/>
      <c r="G111" s="255"/>
      <c r="H111" s="197" t="s">
        <v>36</v>
      </c>
      <c r="I111" s="256" t="s">
        <v>169</v>
      </c>
      <c r="J111" s="256"/>
      <c r="K111" s="256"/>
      <c r="L111" s="256"/>
      <c r="M111" s="256"/>
      <c r="N111" s="256"/>
      <c r="O111" s="256"/>
      <c r="P111" s="256"/>
      <c r="Q111" s="256"/>
      <c r="R111" s="256"/>
      <c r="S111" s="256"/>
      <c r="T111" s="256"/>
      <c r="U111" s="256"/>
      <c r="V111" s="256"/>
      <c r="W111" s="256"/>
      <c r="X111" s="256"/>
      <c r="Y111" s="256"/>
      <c r="Z111" s="256"/>
      <c r="AA111" s="256"/>
      <c r="AB111" s="15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27"/>
      <c r="BA111" s="227"/>
      <c r="BB111" s="227"/>
      <c r="BC111" s="227"/>
      <c r="BD111" s="227"/>
      <c r="BE111" s="227"/>
      <c r="BF111" s="227"/>
      <c r="BG111" s="227"/>
      <c r="BH111" s="227"/>
      <c r="BI111" s="227"/>
      <c r="BJ111" s="227"/>
      <c r="BK111" s="227"/>
      <c r="BL111" s="227"/>
      <c r="BM111" s="227"/>
      <c r="BN111" s="227"/>
      <c r="BO111" s="227"/>
      <c r="BP111" s="227"/>
      <c r="BQ111" s="227"/>
    </row>
    <row r="112" customHeight="1" spans="1:69">
      <c r="A112" s="234"/>
      <c r="B112" s="288"/>
      <c r="C112" s="209"/>
      <c r="D112" s="209"/>
      <c r="E112" s="209"/>
      <c r="F112" s="209"/>
      <c r="G112" s="209"/>
      <c r="H112" s="203"/>
      <c r="I112" s="289"/>
      <c r="J112" s="289"/>
      <c r="K112" s="289"/>
      <c r="L112" s="289"/>
      <c r="M112" s="289"/>
      <c r="N112" s="289"/>
      <c r="O112" s="289"/>
      <c r="P112" s="289"/>
      <c r="Q112" s="289"/>
      <c r="R112" s="289"/>
      <c r="S112" s="289"/>
      <c r="T112" s="289"/>
      <c r="U112" s="289"/>
      <c r="V112" s="289"/>
      <c r="W112" s="289"/>
      <c r="X112" s="289"/>
      <c r="Y112" s="289"/>
      <c r="Z112" s="289"/>
      <c r="AA112" s="289"/>
      <c r="AB112" s="150"/>
      <c r="AD112" s="230"/>
      <c r="AE112" s="230"/>
      <c r="AF112" s="230"/>
      <c r="AG112" s="230"/>
      <c r="AH112" s="230"/>
      <c r="AI112" s="230"/>
      <c r="AJ112" s="230"/>
      <c r="AK112" s="230"/>
      <c r="AL112" s="230"/>
      <c r="AM112" s="230"/>
      <c r="AN112" s="230"/>
      <c r="AO112" s="230"/>
      <c r="AP112" s="230"/>
      <c r="AQ112" s="230"/>
      <c r="AR112" s="230"/>
      <c r="AS112" s="230"/>
      <c r="AT112" s="230"/>
      <c r="AU112" s="230"/>
      <c r="AV112" s="230"/>
      <c r="AW112" s="230"/>
      <c r="AX112" s="230"/>
      <c r="AY112" s="230"/>
      <c r="AZ112" s="227"/>
      <c r="BA112" s="227"/>
      <c r="BB112" s="227"/>
      <c r="BC112" s="227"/>
      <c r="BD112" s="227"/>
      <c r="BE112" s="227"/>
      <c r="BF112" s="227"/>
      <c r="BG112" s="227"/>
      <c r="BH112" s="227"/>
      <c r="BI112" s="227"/>
      <c r="BJ112" s="227"/>
      <c r="BK112" s="227"/>
      <c r="BL112" s="227"/>
      <c r="BM112" s="227"/>
      <c r="BN112" s="227"/>
      <c r="BO112" s="227"/>
      <c r="BP112" s="227"/>
      <c r="BQ112" s="227"/>
    </row>
    <row r="113" customHeight="1" spans="1:69">
      <c r="A113" s="234"/>
      <c r="B113" s="288"/>
      <c r="C113" s="209"/>
      <c r="D113" s="209"/>
      <c r="E113" s="209"/>
      <c r="F113" s="209"/>
      <c r="G113" s="209"/>
      <c r="H113" s="203"/>
      <c r="I113" s="289"/>
      <c r="J113" s="289"/>
      <c r="K113" s="289"/>
      <c r="L113" s="289"/>
      <c r="M113" s="289"/>
      <c r="N113" s="289"/>
      <c r="O113" s="289"/>
      <c r="P113" s="289"/>
      <c r="Q113" s="289"/>
      <c r="R113" s="289"/>
      <c r="S113" s="289"/>
      <c r="T113" s="289"/>
      <c r="U113" s="289"/>
      <c r="V113" s="289"/>
      <c r="W113" s="289"/>
      <c r="X113" s="289"/>
      <c r="Y113" s="289"/>
      <c r="Z113" s="289"/>
      <c r="AA113" s="289"/>
      <c r="AB113" s="150"/>
      <c r="AD113" s="230"/>
      <c r="AE113" s="230"/>
      <c r="AF113" s="230"/>
      <c r="AG113" s="230"/>
      <c r="AH113" s="230"/>
      <c r="AI113" s="230"/>
      <c r="AJ113" s="230"/>
      <c r="AK113" s="230"/>
      <c r="AL113" s="230"/>
      <c r="AM113" s="230"/>
      <c r="AN113" s="230"/>
      <c r="AO113" s="230"/>
      <c r="AP113" s="230"/>
      <c r="AQ113" s="230"/>
      <c r="AR113" s="230"/>
      <c r="AS113" s="230"/>
      <c r="AT113" s="230"/>
      <c r="AU113" s="230"/>
      <c r="AV113" s="230"/>
      <c r="AW113" s="230"/>
      <c r="AX113" s="230"/>
      <c r="AY113" s="230"/>
      <c r="AZ113" s="227"/>
      <c r="BA113" s="227"/>
      <c r="BB113" s="227"/>
      <c r="BC113" s="227"/>
      <c r="BD113" s="227"/>
      <c r="BE113" s="227"/>
      <c r="BF113" s="227"/>
      <c r="BG113" s="227"/>
      <c r="BH113" s="227"/>
      <c r="BI113" s="227"/>
      <c r="BJ113" s="227"/>
      <c r="BK113" s="227"/>
      <c r="BL113" s="227"/>
      <c r="BM113" s="227"/>
      <c r="BN113" s="227"/>
      <c r="BO113" s="227"/>
      <c r="BP113" s="227"/>
      <c r="BQ113" s="227"/>
    </row>
    <row r="114" customHeight="1" spans="1:69">
      <c r="A114" s="234"/>
      <c r="B114" s="288"/>
      <c r="C114" s="209"/>
      <c r="D114" s="209"/>
      <c r="E114" s="209"/>
      <c r="F114" s="209"/>
      <c r="G114" s="209"/>
      <c r="H114" s="203"/>
      <c r="I114" s="289"/>
      <c r="J114" s="289"/>
      <c r="K114" s="289"/>
      <c r="L114" s="289"/>
      <c r="M114" s="289"/>
      <c r="N114" s="289"/>
      <c r="O114" s="289"/>
      <c r="P114" s="289"/>
      <c r="Q114" s="289"/>
      <c r="R114" s="289"/>
      <c r="S114" s="289"/>
      <c r="T114" s="289"/>
      <c r="U114" s="289"/>
      <c r="V114" s="289"/>
      <c r="W114" s="289"/>
      <c r="X114" s="289"/>
      <c r="Y114" s="289"/>
      <c r="Z114" s="289"/>
      <c r="AA114" s="289"/>
      <c r="AB114" s="150"/>
      <c r="AD114" s="230"/>
      <c r="AE114" s="230"/>
      <c r="AF114" s="230"/>
      <c r="AG114" s="230"/>
      <c r="AH114" s="230"/>
      <c r="AI114" s="230"/>
      <c r="AJ114" s="230"/>
      <c r="AK114" s="230"/>
      <c r="AL114" s="230"/>
      <c r="AM114" s="230"/>
      <c r="AN114" s="230"/>
      <c r="AO114" s="230"/>
      <c r="AP114" s="230"/>
      <c r="AQ114" s="230"/>
      <c r="AR114" s="230"/>
      <c r="AS114" s="230"/>
      <c r="AT114" s="230"/>
      <c r="AU114" s="230"/>
      <c r="AV114" s="230"/>
      <c r="AW114" s="230"/>
      <c r="AX114" s="230"/>
      <c r="AY114" s="230"/>
      <c r="AZ114" s="227"/>
      <c r="BA114" s="227"/>
      <c r="BB114" s="227"/>
      <c r="BC114" s="227"/>
      <c r="BD114" s="227"/>
      <c r="BE114" s="227"/>
      <c r="BF114" s="227"/>
      <c r="BG114" s="227"/>
      <c r="BH114" s="227"/>
      <c r="BI114" s="227"/>
      <c r="BJ114" s="227"/>
      <c r="BK114" s="227"/>
      <c r="BL114" s="227"/>
      <c r="BM114" s="227"/>
      <c r="BN114" s="227"/>
      <c r="BO114" s="227"/>
      <c r="BP114" s="227"/>
      <c r="BQ114" s="227"/>
    </row>
    <row r="115" customHeight="1" spans="1:69">
      <c r="A115" s="234"/>
      <c r="B115" s="288"/>
      <c r="C115" s="209"/>
      <c r="D115" s="209"/>
      <c r="E115" s="209"/>
      <c r="F115" s="209"/>
      <c r="G115" s="209"/>
      <c r="H115" s="203"/>
      <c r="I115" s="289"/>
      <c r="J115" s="289"/>
      <c r="K115" s="289"/>
      <c r="L115" s="289"/>
      <c r="M115" s="289"/>
      <c r="N115" s="289"/>
      <c r="O115" s="289"/>
      <c r="P115" s="289"/>
      <c r="Q115" s="289"/>
      <c r="R115" s="289"/>
      <c r="S115" s="289"/>
      <c r="T115" s="289"/>
      <c r="U115" s="289"/>
      <c r="V115" s="289"/>
      <c r="W115" s="289"/>
      <c r="X115" s="289"/>
      <c r="Y115" s="289"/>
      <c r="Z115" s="289"/>
      <c r="AA115" s="289"/>
      <c r="AB115" s="150"/>
      <c r="AD115" s="230"/>
      <c r="AE115" s="230"/>
      <c r="AF115" s="230"/>
      <c r="AG115" s="230"/>
      <c r="AH115" s="230"/>
      <c r="AI115" s="230"/>
      <c r="AJ115" s="230"/>
      <c r="AK115" s="230"/>
      <c r="AL115" s="230"/>
      <c r="AM115" s="230"/>
      <c r="AN115" s="230"/>
      <c r="AO115" s="230"/>
      <c r="AP115" s="230"/>
      <c r="AQ115" s="230"/>
      <c r="AR115" s="230"/>
      <c r="AS115" s="230"/>
      <c r="AT115" s="230"/>
      <c r="AU115" s="230"/>
      <c r="AV115" s="230"/>
      <c r="AW115" s="230"/>
      <c r="AX115" s="230"/>
      <c r="AY115" s="230"/>
      <c r="AZ115" s="227"/>
      <c r="BA115" s="227"/>
      <c r="BB115" s="227"/>
      <c r="BC115" s="227"/>
      <c r="BD115" s="227"/>
      <c r="BE115" s="227"/>
      <c r="BF115" s="227"/>
      <c r="BG115" s="227"/>
      <c r="BH115" s="227"/>
      <c r="BI115" s="227"/>
      <c r="BJ115" s="227"/>
      <c r="BK115" s="227"/>
      <c r="BL115" s="227"/>
      <c r="BM115" s="227"/>
      <c r="BN115" s="227"/>
      <c r="BO115" s="227"/>
      <c r="BP115" s="227"/>
      <c r="BQ115" s="227"/>
    </row>
    <row r="116" customHeight="1" spans="1:69">
      <c r="A116" s="234"/>
      <c r="B116" s="288"/>
      <c r="C116" s="209"/>
      <c r="D116" s="209"/>
      <c r="E116" s="209"/>
      <c r="F116" s="209"/>
      <c r="G116" s="209"/>
      <c r="H116" s="203"/>
      <c r="I116" s="289"/>
      <c r="J116" s="289"/>
      <c r="K116" s="289"/>
      <c r="L116" s="289"/>
      <c r="M116" s="289"/>
      <c r="N116" s="289"/>
      <c r="O116" s="289"/>
      <c r="P116" s="289"/>
      <c r="Q116" s="289"/>
      <c r="R116" s="289"/>
      <c r="S116" s="289"/>
      <c r="T116" s="289"/>
      <c r="U116" s="289"/>
      <c r="V116" s="289"/>
      <c r="W116" s="289"/>
      <c r="X116" s="289"/>
      <c r="Y116" s="289"/>
      <c r="Z116" s="289"/>
      <c r="AA116" s="289"/>
      <c r="AB116" s="150"/>
      <c r="AD116" s="230"/>
      <c r="AE116" s="230"/>
      <c r="AF116" s="230"/>
      <c r="AG116" s="230"/>
      <c r="AH116" s="230"/>
      <c r="AI116" s="230"/>
      <c r="AJ116" s="230"/>
      <c r="AK116" s="230"/>
      <c r="AL116" s="230"/>
      <c r="AM116" s="230"/>
      <c r="AN116" s="230"/>
      <c r="AO116" s="230"/>
      <c r="AP116" s="230"/>
      <c r="AQ116" s="230"/>
      <c r="AR116" s="230"/>
      <c r="AS116" s="230"/>
      <c r="AT116" s="230"/>
      <c r="AU116" s="230"/>
      <c r="AV116" s="230"/>
      <c r="AW116" s="230"/>
      <c r="AX116" s="230"/>
      <c r="AY116" s="230"/>
      <c r="AZ116" s="227"/>
      <c r="BA116" s="227"/>
      <c r="BB116" s="227"/>
      <c r="BC116" s="227"/>
      <c r="BD116" s="227"/>
      <c r="BE116" s="227"/>
      <c r="BF116" s="227"/>
      <c r="BG116" s="227"/>
      <c r="BH116" s="227"/>
      <c r="BI116" s="227"/>
      <c r="BJ116" s="227"/>
      <c r="BK116" s="227"/>
      <c r="BL116" s="227"/>
      <c r="BM116" s="227"/>
      <c r="BN116" s="227"/>
      <c r="BO116" s="227"/>
      <c r="BP116" s="227"/>
      <c r="BQ116" s="227"/>
    </row>
    <row r="117" customHeight="1" spans="1:69">
      <c r="A117" s="234"/>
      <c r="B117" s="288"/>
      <c r="C117" s="209"/>
      <c r="D117" s="209"/>
      <c r="E117" s="209"/>
      <c r="F117" s="209"/>
      <c r="G117" s="209"/>
      <c r="H117" s="203"/>
      <c r="I117" s="289"/>
      <c r="J117" s="289"/>
      <c r="K117" s="289"/>
      <c r="L117" s="289"/>
      <c r="M117" s="289"/>
      <c r="N117" s="289"/>
      <c r="O117" s="289"/>
      <c r="P117" s="289"/>
      <c r="Q117" s="289"/>
      <c r="R117" s="289"/>
      <c r="S117" s="289"/>
      <c r="T117" s="289"/>
      <c r="U117" s="289"/>
      <c r="V117" s="289"/>
      <c r="W117" s="289"/>
      <c r="X117" s="289"/>
      <c r="Y117" s="289"/>
      <c r="Z117" s="289"/>
      <c r="AA117" s="289"/>
      <c r="AB117" s="150"/>
      <c r="AD117" s="230"/>
      <c r="AE117" s="230"/>
      <c r="AF117" s="230"/>
      <c r="AG117" s="230"/>
      <c r="AH117" s="230"/>
      <c r="AI117" s="230"/>
      <c r="AJ117" s="230"/>
      <c r="AK117" s="230"/>
      <c r="AL117" s="230"/>
      <c r="AM117" s="230"/>
      <c r="AN117" s="230"/>
      <c r="AO117" s="230"/>
      <c r="AP117" s="230"/>
      <c r="AQ117" s="230"/>
      <c r="AR117" s="230"/>
      <c r="AS117" s="230"/>
      <c r="AT117" s="230"/>
      <c r="AU117" s="230"/>
      <c r="AV117" s="230"/>
      <c r="AW117" s="230"/>
      <c r="AX117" s="230"/>
      <c r="AY117" s="230"/>
      <c r="AZ117" s="227"/>
      <c r="BA117" s="227"/>
      <c r="BB117" s="227"/>
      <c r="BC117" s="227"/>
      <c r="BD117" s="227"/>
      <c r="BE117" s="227"/>
      <c r="BF117" s="227"/>
      <c r="BG117" s="227"/>
      <c r="BH117" s="227"/>
      <c r="BI117" s="227"/>
      <c r="BJ117" s="227"/>
      <c r="BK117" s="227"/>
      <c r="BL117" s="227"/>
      <c r="BM117" s="227"/>
      <c r="BN117" s="227"/>
      <c r="BO117" s="227"/>
      <c r="BP117" s="227"/>
      <c r="BQ117" s="227"/>
    </row>
    <row r="118" customHeight="1" spans="1:69">
      <c r="A118" s="234"/>
      <c r="B118" s="290" t="s">
        <v>170</v>
      </c>
      <c r="C118" s="209"/>
      <c r="D118" s="209"/>
      <c r="E118" s="209"/>
      <c r="F118" s="209"/>
      <c r="G118" s="209"/>
      <c r="H118" s="203"/>
      <c r="I118" s="289"/>
      <c r="J118" s="289"/>
      <c r="K118" s="289"/>
      <c r="L118" s="289"/>
      <c r="M118" s="289"/>
      <c r="N118" s="289"/>
      <c r="O118" s="289"/>
      <c r="P118" s="289"/>
      <c r="Q118" s="289"/>
      <c r="R118" s="289"/>
      <c r="S118" s="289"/>
      <c r="T118" s="289"/>
      <c r="U118" s="289"/>
      <c r="V118" s="289"/>
      <c r="W118" s="289"/>
      <c r="X118" s="289"/>
      <c r="Y118" s="289"/>
      <c r="Z118" s="289"/>
      <c r="AA118" s="289"/>
      <c r="AB118" s="150"/>
      <c r="AD118" s="230"/>
      <c r="AE118" s="230"/>
      <c r="AF118" s="230"/>
      <c r="AG118" s="230"/>
      <c r="AH118" s="230"/>
      <c r="AI118" s="230"/>
      <c r="AJ118" s="230"/>
      <c r="AK118" s="230"/>
      <c r="AL118" s="230"/>
      <c r="AM118" s="230"/>
      <c r="AN118" s="230"/>
      <c r="AO118" s="230"/>
      <c r="AP118" s="230"/>
      <c r="AQ118" s="230"/>
      <c r="AR118" s="230"/>
      <c r="AS118" s="230"/>
      <c r="AT118" s="230"/>
      <c r="AU118" s="230"/>
      <c r="AV118" s="230"/>
      <c r="AW118" s="230"/>
      <c r="AX118" s="230"/>
      <c r="AY118" s="230"/>
      <c r="AZ118" s="227"/>
      <c r="BA118" s="227"/>
      <c r="BB118" s="227"/>
      <c r="BC118" s="227"/>
      <c r="BD118" s="227"/>
      <c r="BE118" s="227"/>
      <c r="BF118" s="227"/>
      <c r="BG118" s="227"/>
      <c r="BH118" s="227"/>
      <c r="BI118" s="227"/>
      <c r="BJ118" s="227"/>
      <c r="BK118" s="227"/>
      <c r="BL118" s="227"/>
      <c r="BM118" s="227"/>
      <c r="BN118" s="227"/>
      <c r="BO118" s="227"/>
      <c r="BP118" s="227"/>
      <c r="BQ118" s="227"/>
    </row>
    <row r="119" customHeight="1" spans="1:69">
      <c r="A119" s="234"/>
      <c r="B119" s="290"/>
      <c r="C119" s="209"/>
      <c r="D119" s="209"/>
      <c r="E119" s="209"/>
      <c r="F119" s="209"/>
      <c r="G119" s="209"/>
      <c r="H119" s="203"/>
      <c r="I119" s="289"/>
      <c r="J119" s="289"/>
      <c r="K119" s="289"/>
      <c r="L119" s="289"/>
      <c r="M119" s="289"/>
      <c r="N119" s="289"/>
      <c r="O119" s="289"/>
      <c r="P119" s="289"/>
      <c r="Q119" s="289"/>
      <c r="R119" s="289"/>
      <c r="S119" s="289"/>
      <c r="T119" s="289"/>
      <c r="U119" s="289"/>
      <c r="V119" s="289"/>
      <c r="W119" s="289"/>
      <c r="X119" s="289"/>
      <c r="Y119" s="289"/>
      <c r="Z119" s="289"/>
      <c r="AA119" s="289"/>
      <c r="AB119" s="150"/>
      <c r="AD119" s="230"/>
      <c r="AE119" s="230"/>
      <c r="AF119" s="230"/>
      <c r="AG119" s="230"/>
      <c r="AH119" s="230"/>
      <c r="AI119" s="230"/>
      <c r="AJ119" s="230"/>
      <c r="AK119" s="230"/>
      <c r="AL119" s="230"/>
      <c r="AM119" s="230"/>
      <c r="AN119" s="230"/>
      <c r="AO119" s="230"/>
      <c r="AP119" s="230"/>
      <c r="AQ119" s="230"/>
      <c r="AR119" s="230"/>
      <c r="AS119" s="230"/>
      <c r="AT119" s="230"/>
      <c r="AU119" s="230"/>
      <c r="AV119" s="230"/>
      <c r="AW119" s="230"/>
      <c r="AX119" s="230"/>
      <c r="AY119" s="230"/>
    </row>
    <row r="120" customHeight="1" spans="1:69">
      <c r="A120" s="234"/>
      <c r="B120" s="290"/>
      <c r="C120" s="209"/>
      <c r="D120" s="209"/>
      <c r="E120" s="209"/>
      <c r="F120" s="209"/>
      <c r="G120" s="209"/>
      <c r="H120" s="203"/>
      <c r="I120" s="289"/>
      <c r="J120" s="289"/>
      <c r="K120" s="289"/>
      <c r="L120" s="289"/>
      <c r="M120" s="289"/>
      <c r="N120" s="289"/>
      <c r="O120" s="289"/>
      <c r="P120" s="289"/>
      <c r="Q120" s="289"/>
      <c r="R120" s="289"/>
      <c r="S120" s="289"/>
      <c r="T120" s="289"/>
      <c r="U120" s="289"/>
      <c r="V120" s="289"/>
      <c r="W120" s="289"/>
      <c r="X120" s="289"/>
      <c r="Y120" s="289"/>
      <c r="Z120" s="289"/>
      <c r="AA120" s="289"/>
      <c r="AB120" s="150"/>
      <c r="AD120" s="230"/>
      <c r="AE120" s="230"/>
      <c r="AF120" s="230"/>
      <c r="AG120" s="230"/>
      <c r="AH120" s="230"/>
      <c r="AI120" s="230"/>
      <c r="AJ120" s="230"/>
      <c r="AK120" s="230"/>
      <c r="AL120" s="230"/>
      <c r="AM120" s="230"/>
      <c r="AN120" s="230"/>
      <c r="AO120" s="230"/>
      <c r="AP120" s="230"/>
      <c r="AQ120" s="230"/>
      <c r="AR120" s="230"/>
      <c r="AS120" s="230"/>
      <c r="AT120" s="230"/>
      <c r="AU120" s="230"/>
      <c r="AV120" s="230"/>
      <c r="AW120" s="230"/>
      <c r="AX120" s="230"/>
      <c r="AY120" s="230"/>
    </row>
    <row r="121" customHeight="1" spans="1:69">
      <c r="A121" s="234"/>
      <c r="B121" s="290"/>
      <c r="C121" s="209"/>
      <c r="D121" s="209"/>
      <c r="E121" s="209"/>
      <c r="F121" s="209"/>
      <c r="G121" s="209"/>
      <c r="H121" s="203"/>
      <c r="I121" s="289"/>
      <c r="J121" s="289"/>
      <c r="K121" s="289"/>
      <c r="L121" s="289"/>
      <c r="M121" s="289"/>
      <c r="N121" s="289"/>
      <c r="O121" s="289"/>
      <c r="P121" s="289"/>
      <c r="Q121" s="289"/>
      <c r="R121" s="289"/>
      <c r="S121" s="289"/>
      <c r="T121" s="289"/>
      <c r="U121" s="289"/>
      <c r="V121" s="289"/>
      <c r="W121" s="289"/>
      <c r="X121" s="289"/>
      <c r="Y121" s="289"/>
      <c r="Z121" s="289"/>
      <c r="AA121" s="289"/>
      <c r="AB121" s="150"/>
      <c r="AD121" s="230"/>
      <c r="AE121" s="230"/>
      <c r="AF121" s="230"/>
      <c r="AG121" s="230"/>
      <c r="AH121" s="230"/>
      <c r="AI121" s="230"/>
      <c r="AJ121" s="230"/>
      <c r="AK121" s="230"/>
      <c r="AL121" s="230"/>
      <c r="AM121" s="230"/>
      <c r="AN121" s="230"/>
      <c r="AO121" s="230"/>
      <c r="AP121" s="230"/>
      <c r="AQ121" s="230"/>
      <c r="AR121" s="230"/>
      <c r="AS121" s="230"/>
      <c r="AT121" s="230"/>
      <c r="AU121" s="230"/>
      <c r="AV121" s="230"/>
      <c r="AW121" s="230"/>
      <c r="AX121" s="230"/>
      <c r="AY121" s="230"/>
    </row>
    <row r="122" customHeight="1" spans="1:69">
      <c r="A122" s="234"/>
      <c r="B122" s="291" t="s">
        <v>171</v>
      </c>
      <c r="C122" s="209"/>
      <c r="D122" s="209"/>
      <c r="E122" s="209"/>
      <c r="F122" s="209"/>
      <c r="G122" s="209"/>
      <c r="H122" s="203"/>
      <c r="I122" s="289"/>
      <c r="J122" s="289"/>
      <c r="K122" s="289"/>
      <c r="L122" s="289"/>
      <c r="M122" s="289"/>
      <c r="N122" s="289"/>
      <c r="O122" s="289"/>
      <c r="P122" s="289"/>
      <c r="Q122" s="289"/>
      <c r="R122" s="289"/>
      <c r="S122" s="289"/>
      <c r="T122" s="289"/>
      <c r="U122" s="289"/>
      <c r="V122" s="289"/>
      <c r="W122" s="289"/>
      <c r="X122" s="289"/>
      <c r="Y122" s="289"/>
      <c r="Z122" s="289"/>
      <c r="AA122" s="289"/>
      <c r="AB122" s="150"/>
      <c r="AD122" s="230"/>
      <c r="AE122" s="230"/>
      <c r="AF122" s="230"/>
      <c r="AG122" s="230"/>
      <c r="AH122" s="230"/>
      <c r="AI122" s="230"/>
      <c r="AJ122" s="230"/>
      <c r="AK122" s="230"/>
      <c r="AL122" s="230"/>
      <c r="AM122" s="230"/>
      <c r="AN122" s="230"/>
      <c r="AO122" s="230"/>
      <c r="AP122" s="230"/>
      <c r="AQ122" s="230"/>
      <c r="AR122" s="230"/>
      <c r="AS122" s="230"/>
      <c r="AT122" s="230"/>
      <c r="AU122" s="230"/>
      <c r="AV122" s="230"/>
      <c r="AW122" s="230"/>
      <c r="AX122" s="230"/>
      <c r="AY122" s="230"/>
    </row>
    <row r="123" customHeight="1" spans="1:69">
      <c r="A123" s="234"/>
      <c r="B123" s="291"/>
      <c r="C123" s="209"/>
      <c r="D123" s="209"/>
      <c r="E123" s="209"/>
      <c r="F123" s="209"/>
      <c r="G123" s="209"/>
      <c r="H123" s="203"/>
      <c r="I123" s="289"/>
      <c r="J123" s="289"/>
      <c r="K123" s="289"/>
      <c r="L123" s="289"/>
      <c r="M123" s="289"/>
      <c r="N123" s="289"/>
      <c r="O123" s="289"/>
      <c r="P123" s="289"/>
      <c r="Q123" s="289"/>
      <c r="R123" s="289"/>
      <c r="S123" s="289"/>
      <c r="T123" s="289"/>
      <c r="U123" s="289"/>
      <c r="V123" s="289"/>
      <c r="W123" s="289"/>
      <c r="X123" s="289"/>
      <c r="Y123" s="289"/>
      <c r="Z123" s="289"/>
      <c r="AA123" s="289"/>
      <c r="AB123" s="150"/>
      <c r="AD123" s="230"/>
      <c r="AE123" s="230"/>
      <c r="AF123" s="230"/>
      <c r="AG123" s="230"/>
      <c r="AH123" s="230"/>
      <c r="AI123" s="230"/>
      <c r="AJ123" s="230"/>
      <c r="AK123" s="230"/>
      <c r="AL123" s="230"/>
      <c r="AM123" s="230"/>
      <c r="AN123" s="230"/>
      <c r="AO123" s="230"/>
      <c r="AP123" s="230"/>
      <c r="AQ123" s="230"/>
      <c r="AR123" s="230"/>
      <c r="AS123" s="230"/>
      <c r="AT123" s="230"/>
      <c r="AU123" s="230"/>
      <c r="AV123" s="230"/>
      <c r="AW123" s="230"/>
      <c r="AX123" s="230"/>
      <c r="AY123" s="230"/>
    </row>
    <row r="124" customHeight="1" spans="1:69">
      <c r="A124" s="234"/>
      <c r="B124" s="291"/>
      <c r="C124" s="209"/>
      <c r="D124" s="209"/>
      <c r="E124" s="209"/>
      <c r="F124" s="209"/>
      <c r="G124" s="209"/>
      <c r="H124" s="203"/>
      <c r="I124" s="289"/>
      <c r="J124" s="289"/>
      <c r="K124" s="289"/>
      <c r="L124" s="289"/>
      <c r="M124" s="289"/>
      <c r="N124" s="289"/>
      <c r="O124" s="289"/>
      <c r="P124" s="289"/>
      <c r="Q124" s="289"/>
      <c r="R124" s="289"/>
      <c r="S124" s="289"/>
      <c r="T124" s="289"/>
      <c r="U124" s="289"/>
      <c r="V124" s="289"/>
      <c r="W124" s="289"/>
      <c r="X124" s="289"/>
      <c r="Y124" s="289"/>
      <c r="Z124" s="289"/>
      <c r="AA124" s="289"/>
      <c r="AB124" s="150"/>
      <c r="AD124" s="230"/>
      <c r="AE124" s="230"/>
      <c r="AF124" s="230"/>
      <c r="AG124" s="230"/>
      <c r="AH124" s="230"/>
      <c r="AI124" s="230"/>
      <c r="AJ124" s="230"/>
      <c r="AK124" s="230"/>
      <c r="AL124" s="230"/>
      <c r="AM124" s="230"/>
      <c r="AN124" s="230"/>
      <c r="AO124" s="230"/>
      <c r="AP124" s="230"/>
      <c r="AQ124" s="230"/>
      <c r="AR124" s="230"/>
      <c r="AS124" s="230"/>
      <c r="AT124" s="230"/>
      <c r="AU124" s="230"/>
      <c r="AV124" s="230"/>
      <c r="AW124" s="230"/>
      <c r="AX124" s="230"/>
      <c r="AY124" s="230"/>
    </row>
    <row r="125" customHeight="1" spans="1:69">
      <c r="A125" s="234"/>
      <c r="B125" s="291"/>
      <c r="C125" s="209"/>
      <c r="D125" s="209"/>
      <c r="E125" s="209"/>
      <c r="F125" s="209"/>
      <c r="G125" s="209"/>
      <c r="H125" s="203"/>
      <c r="I125" s="289"/>
      <c r="J125" s="289"/>
      <c r="K125" s="289"/>
      <c r="L125" s="289"/>
      <c r="M125" s="289"/>
      <c r="N125" s="289"/>
      <c r="O125" s="289"/>
      <c r="P125" s="289"/>
      <c r="Q125" s="289"/>
      <c r="R125" s="289"/>
      <c r="S125" s="289"/>
      <c r="T125" s="289"/>
      <c r="U125" s="289"/>
      <c r="V125" s="289"/>
      <c r="W125" s="289"/>
      <c r="X125" s="289"/>
      <c r="Y125" s="289"/>
      <c r="Z125" s="289"/>
      <c r="AA125" s="289"/>
      <c r="AB125" s="150"/>
      <c r="AD125" s="230"/>
      <c r="AE125" s="230"/>
      <c r="AF125" s="230"/>
      <c r="AG125" s="230"/>
      <c r="AH125" s="230"/>
      <c r="AI125" s="230"/>
      <c r="AJ125" s="230"/>
      <c r="AK125" s="230"/>
      <c r="AL125" s="230"/>
      <c r="AM125" s="230"/>
      <c r="AN125" s="230"/>
      <c r="AO125" s="230"/>
      <c r="AP125" s="230"/>
      <c r="AQ125" s="230"/>
      <c r="AR125" s="230"/>
      <c r="AS125" s="230"/>
      <c r="AT125" s="230"/>
      <c r="AU125" s="230"/>
      <c r="AV125" s="230"/>
      <c r="AW125" s="230"/>
      <c r="AX125" s="230"/>
      <c r="AY125" s="230"/>
    </row>
    <row r="126" customHeight="1" spans="1:69">
      <c r="A126" s="234"/>
      <c r="B126" s="291" t="s">
        <v>172</v>
      </c>
      <c r="C126" s="209"/>
      <c r="D126" s="209"/>
      <c r="E126" s="209"/>
      <c r="F126" s="209"/>
      <c r="G126" s="209"/>
      <c r="H126" s="203"/>
      <c r="I126" s="289"/>
      <c r="J126" s="289"/>
      <c r="K126" s="289"/>
      <c r="L126" s="289"/>
      <c r="M126" s="289"/>
      <c r="N126" s="289"/>
      <c r="O126" s="289"/>
      <c r="P126" s="289"/>
      <c r="Q126" s="289"/>
      <c r="R126" s="289"/>
      <c r="S126" s="289"/>
      <c r="T126" s="289"/>
      <c r="U126" s="289"/>
      <c r="V126" s="289"/>
      <c r="W126" s="289"/>
      <c r="X126" s="289"/>
      <c r="Y126" s="289"/>
      <c r="Z126" s="289"/>
      <c r="AA126" s="289"/>
      <c r="AB126" s="150"/>
      <c r="AD126" s="230"/>
      <c r="AE126" s="230"/>
      <c r="AF126" s="230"/>
      <c r="AG126" s="230"/>
      <c r="AH126" s="230"/>
      <c r="AI126" s="230"/>
      <c r="AJ126" s="230"/>
      <c r="AK126" s="230"/>
      <c r="AL126" s="230"/>
      <c r="AM126" s="230"/>
      <c r="AN126" s="230"/>
      <c r="AO126" s="230"/>
      <c r="AP126" s="230"/>
      <c r="AQ126" s="230"/>
      <c r="AR126" s="230"/>
      <c r="AS126" s="230"/>
      <c r="AT126" s="230"/>
      <c r="AU126" s="230"/>
      <c r="AV126" s="230"/>
      <c r="AW126" s="230"/>
      <c r="AX126" s="230"/>
      <c r="AY126" s="230"/>
    </row>
    <row r="127" customHeight="1" spans="1:69">
      <c r="A127" s="234"/>
      <c r="B127" s="291"/>
      <c r="C127" s="209"/>
      <c r="D127" s="209"/>
      <c r="E127" s="209"/>
      <c r="F127" s="209"/>
      <c r="G127" s="209"/>
      <c r="H127" s="203"/>
      <c r="I127" s="289"/>
      <c r="J127" s="289"/>
      <c r="K127" s="289"/>
      <c r="L127" s="289"/>
      <c r="M127" s="289"/>
      <c r="N127" s="289"/>
      <c r="O127" s="289"/>
      <c r="P127" s="289"/>
      <c r="Q127" s="289"/>
      <c r="R127" s="289"/>
      <c r="S127" s="289"/>
      <c r="T127" s="289"/>
      <c r="U127" s="289"/>
      <c r="V127" s="289"/>
      <c r="W127" s="289"/>
      <c r="X127" s="289"/>
      <c r="Y127" s="289"/>
      <c r="Z127" s="289"/>
      <c r="AA127" s="289"/>
      <c r="AB127" s="150"/>
      <c r="AD127" s="230"/>
      <c r="AE127" s="230"/>
      <c r="AF127" s="230"/>
      <c r="AG127" s="230"/>
      <c r="AH127" s="230"/>
      <c r="AI127" s="230"/>
      <c r="AJ127" s="230"/>
      <c r="AK127" s="230"/>
      <c r="AL127" s="230"/>
      <c r="AM127" s="230"/>
      <c r="AN127" s="230"/>
      <c r="AO127" s="230"/>
      <c r="AP127" s="230"/>
      <c r="AQ127" s="230"/>
      <c r="AR127" s="230"/>
      <c r="AS127" s="230"/>
      <c r="AT127" s="230"/>
      <c r="AU127" s="230"/>
      <c r="AV127" s="230"/>
      <c r="AW127" s="230"/>
      <c r="AX127" s="230"/>
      <c r="AY127" s="230"/>
    </row>
    <row r="128" customHeight="1" spans="1:69">
      <c r="A128" s="234"/>
      <c r="B128" s="291"/>
      <c r="C128" s="209"/>
      <c r="D128" s="209"/>
      <c r="E128" s="209"/>
      <c r="F128" s="209"/>
      <c r="G128" s="209"/>
      <c r="H128" s="203"/>
      <c r="I128" s="289"/>
      <c r="J128" s="289"/>
      <c r="K128" s="289"/>
      <c r="L128" s="289"/>
      <c r="M128" s="289"/>
      <c r="N128" s="289"/>
      <c r="O128" s="289"/>
      <c r="P128" s="289"/>
      <c r="Q128" s="289"/>
      <c r="R128" s="289"/>
      <c r="S128" s="289"/>
      <c r="T128" s="289"/>
      <c r="U128" s="289"/>
      <c r="V128" s="289"/>
      <c r="W128" s="289"/>
      <c r="X128" s="289"/>
      <c r="Y128" s="289"/>
      <c r="Z128" s="289"/>
      <c r="AA128" s="289"/>
      <c r="AB128" s="150"/>
      <c r="AD128" s="230"/>
      <c r="AE128" s="230"/>
      <c r="AF128" s="230"/>
      <c r="AG128" s="230"/>
      <c r="AH128" s="230"/>
      <c r="AI128" s="230"/>
      <c r="AJ128" s="230"/>
      <c r="AK128" s="230"/>
      <c r="AL128" s="230"/>
      <c r="AM128" s="230"/>
      <c r="AN128" s="230"/>
      <c r="AO128" s="230"/>
      <c r="AP128" s="230"/>
      <c r="AQ128" s="230"/>
      <c r="AR128" s="230"/>
      <c r="AS128" s="230"/>
      <c r="AT128" s="230"/>
      <c r="AU128" s="230"/>
      <c r="AV128" s="230"/>
      <c r="AW128" s="230"/>
      <c r="AX128" s="230"/>
      <c r="AY128" s="230"/>
    </row>
    <row r="129" customHeight="1" spans="1:51">
      <c r="A129" s="234"/>
      <c r="B129" s="291"/>
      <c r="C129" s="209"/>
      <c r="D129" s="209"/>
      <c r="E129" s="209"/>
      <c r="F129" s="209"/>
      <c r="G129" s="209"/>
      <c r="H129" s="203"/>
      <c r="I129" s="289"/>
      <c r="J129" s="289"/>
      <c r="K129" s="289"/>
      <c r="L129" s="289"/>
      <c r="M129" s="289"/>
      <c r="N129" s="289"/>
      <c r="O129" s="289"/>
      <c r="P129" s="289"/>
      <c r="Q129" s="289"/>
      <c r="R129" s="289"/>
      <c r="S129" s="289"/>
      <c r="T129" s="289"/>
      <c r="U129" s="289"/>
      <c r="V129" s="289"/>
      <c r="W129" s="289"/>
      <c r="X129" s="289"/>
      <c r="Y129" s="289"/>
      <c r="Z129" s="289"/>
      <c r="AA129" s="289"/>
      <c r="AB129" s="150"/>
      <c r="AD129" s="230"/>
      <c r="AE129" s="230"/>
      <c r="AF129" s="230"/>
      <c r="AG129" s="230"/>
      <c r="AH129" s="230"/>
      <c r="AI129" s="230"/>
      <c r="AJ129" s="230"/>
      <c r="AK129" s="230"/>
      <c r="AL129" s="230"/>
      <c r="AM129" s="230"/>
      <c r="AN129" s="230"/>
      <c r="AO129" s="230"/>
      <c r="AP129" s="230"/>
      <c r="AQ129" s="230"/>
      <c r="AR129" s="230"/>
      <c r="AS129" s="230"/>
      <c r="AT129" s="230"/>
      <c r="AU129" s="230"/>
      <c r="AV129" s="230"/>
      <c r="AW129" s="230"/>
      <c r="AX129" s="230"/>
      <c r="AY129" s="230"/>
    </row>
    <row r="130" customHeight="1" spans="1:51">
      <c r="A130" s="234"/>
      <c r="B130" s="291" t="s">
        <v>173</v>
      </c>
      <c r="C130" s="209"/>
      <c r="D130" s="209"/>
      <c r="E130" s="209"/>
      <c r="F130" s="209"/>
      <c r="G130" s="209"/>
      <c r="H130" s="203"/>
      <c r="I130" s="289"/>
      <c r="J130" s="289"/>
      <c r="K130" s="289"/>
      <c r="L130" s="289"/>
      <c r="M130" s="289"/>
      <c r="N130" s="289"/>
      <c r="O130" s="289"/>
      <c r="P130" s="289"/>
      <c r="Q130" s="289"/>
      <c r="R130" s="289"/>
      <c r="S130" s="289"/>
      <c r="T130" s="289"/>
      <c r="U130" s="289"/>
      <c r="V130" s="289"/>
      <c r="W130" s="289"/>
      <c r="X130" s="289"/>
      <c r="Y130" s="289"/>
      <c r="Z130" s="289"/>
      <c r="AA130" s="289"/>
      <c r="AB130" s="150"/>
      <c r="AD130" s="230"/>
      <c r="AE130" s="230"/>
      <c r="AF130" s="230"/>
      <c r="AG130" s="230"/>
      <c r="AH130" s="230"/>
      <c r="AI130" s="230"/>
      <c r="AJ130" s="230"/>
      <c r="AK130" s="230"/>
      <c r="AL130" s="230"/>
      <c r="AM130" s="230"/>
      <c r="AN130" s="230"/>
      <c r="AO130" s="230"/>
      <c r="AP130" s="230"/>
      <c r="AQ130" s="230"/>
      <c r="AR130" s="230"/>
      <c r="AS130" s="230"/>
      <c r="AT130" s="230"/>
      <c r="AU130" s="230"/>
      <c r="AV130" s="230"/>
      <c r="AW130" s="230"/>
      <c r="AX130" s="230"/>
      <c r="AY130" s="230"/>
    </row>
    <row r="131" customHeight="1" spans="1:51">
      <c r="A131" s="234"/>
      <c r="B131" s="291"/>
      <c r="C131" s="209"/>
      <c r="D131" s="209"/>
      <c r="E131" s="209"/>
      <c r="F131" s="209"/>
      <c r="G131" s="209"/>
      <c r="H131" s="203"/>
      <c r="I131" s="289"/>
      <c r="J131" s="289"/>
      <c r="K131" s="289"/>
      <c r="L131" s="289"/>
      <c r="M131" s="289"/>
      <c r="N131" s="289"/>
      <c r="O131" s="289"/>
      <c r="P131" s="289"/>
      <c r="Q131" s="289"/>
      <c r="R131" s="289"/>
      <c r="S131" s="289"/>
      <c r="T131" s="289"/>
      <c r="U131" s="289"/>
      <c r="V131" s="289"/>
      <c r="W131" s="289"/>
      <c r="X131" s="289"/>
      <c r="Y131" s="289"/>
      <c r="Z131" s="289"/>
      <c r="AA131" s="289"/>
      <c r="AB131" s="15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row>
    <row r="132" customHeight="1" spans="1:51">
      <c r="A132" s="234"/>
      <c r="B132" s="291"/>
      <c r="C132" s="209"/>
      <c r="D132" s="209"/>
      <c r="E132" s="209"/>
      <c r="F132" s="209"/>
      <c r="G132" s="209"/>
      <c r="H132" s="153"/>
      <c r="I132" s="289"/>
      <c r="J132" s="289"/>
      <c r="K132" s="289"/>
      <c r="L132" s="289"/>
      <c r="M132" s="289"/>
      <c r="N132" s="289"/>
      <c r="O132" s="289"/>
      <c r="P132" s="289"/>
      <c r="Q132" s="289"/>
      <c r="R132" s="289"/>
      <c r="S132" s="289"/>
      <c r="T132" s="289"/>
      <c r="U132" s="289"/>
      <c r="V132" s="289"/>
      <c r="W132" s="289"/>
      <c r="X132" s="289"/>
      <c r="Y132" s="289"/>
      <c r="Z132" s="289"/>
      <c r="AA132" s="289"/>
      <c r="AB132" s="150"/>
      <c r="AD132" s="230"/>
      <c r="AE132" s="230"/>
      <c r="AF132" s="230"/>
      <c r="AG132" s="230"/>
      <c r="AH132" s="230"/>
      <c r="AI132" s="230"/>
      <c r="AJ132" s="230"/>
      <c r="AK132" s="230"/>
      <c r="AL132" s="230"/>
      <c r="AM132" s="230"/>
      <c r="AN132" s="230"/>
      <c r="AO132" s="230"/>
      <c r="AP132" s="230"/>
      <c r="AQ132" s="230"/>
      <c r="AR132" s="230"/>
      <c r="AS132" s="230"/>
      <c r="AT132" s="230"/>
      <c r="AU132" s="230"/>
      <c r="AV132" s="230"/>
      <c r="AW132" s="230"/>
      <c r="AX132" s="230"/>
      <c r="AY132" s="230"/>
    </row>
    <row r="133" customHeight="1" spans="1:51">
      <c r="A133" s="234"/>
      <c r="B133" s="291"/>
      <c r="C133" s="209"/>
      <c r="D133" s="209"/>
      <c r="E133" s="209"/>
      <c r="F133" s="209"/>
      <c r="G133" s="209"/>
      <c r="H133" s="153"/>
      <c r="I133" s="289"/>
      <c r="J133" s="289"/>
      <c r="K133" s="289"/>
      <c r="L133" s="289"/>
      <c r="M133" s="289"/>
      <c r="N133" s="289"/>
      <c r="O133" s="289"/>
      <c r="P133" s="289"/>
      <c r="Q133" s="289"/>
      <c r="R133" s="289"/>
      <c r="S133" s="289"/>
      <c r="T133" s="289"/>
      <c r="U133" s="289"/>
      <c r="V133" s="289"/>
      <c r="W133" s="289"/>
      <c r="X133" s="289"/>
      <c r="Y133" s="289"/>
      <c r="Z133" s="289"/>
      <c r="AA133" s="289"/>
      <c r="AB133" s="150"/>
    </row>
    <row r="134" customHeight="1" spans="1:51">
      <c r="A134" s="234"/>
      <c r="B134" s="201" t="s">
        <v>174</v>
      </c>
      <c r="C134" s="209"/>
      <c r="D134" s="209"/>
      <c r="E134" s="209"/>
      <c r="F134" s="209"/>
      <c r="G134" s="209"/>
      <c r="H134" s="153"/>
      <c r="I134" s="289"/>
      <c r="J134" s="289"/>
      <c r="K134" s="289"/>
      <c r="L134" s="289"/>
      <c r="M134" s="289"/>
      <c r="N134" s="289"/>
      <c r="O134" s="289"/>
      <c r="P134" s="289"/>
      <c r="Q134" s="289"/>
      <c r="R134" s="289"/>
      <c r="S134" s="289"/>
      <c r="T134" s="289"/>
      <c r="U134" s="289"/>
      <c r="V134" s="289"/>
      <c r="W134" s="289"/>
      <c r="X134" s="289"/>
      <c r="Y134" s="289"/>
      <c r="Z134" s="289"/>
      <c r="AA134" s="289"/>
      <c r="AB134" s="150"/>
    </row>
    <row r="135" customHeight="1" spans="1:51">
      <c r="A135" s="234"/>
      <c r="B135" s="201"/>
      <c r="C135" s="209"/>
      <c r="D135" s="209"/>
      <c r="E135" s="209"/>
      <c r="F135" s="209"/>
      <c r="G135" s="209"/>
      <c r="H135" s="153"/>
      <c r="I135" s="289"/>
      <c r="J135" s="289"/>
      <c r="K135" s="289"/>
      <c r="L135" s="289"/>
      <c r="M135" s="289"/>
      <c r="N135" s="289"/>
      <c r="O135" s="289"/>
      <c r="P135" s="289"/>
      <c r="Q135" s="289"/>
      <c r="R135" s="289"/>
      <c r="S135" s="289"/>
      <c r="T135" s="289"/>
      <c r="U135" s="289"/>
      <c r="V135" s="289"/>
      <c r="W135" s="289"/>
      <c r="X135" s="289"/>
      <c r="Y135" s="289"/>
      <c r="Z135" s="289"/>
      <c r="AA135" s="289"/>
      <c r="AB135" s="150"/>
    </row>
    <row r="136" customHeight="1" spans="1:51">
      <c r="A136" s="234"/>
      <c r="B136" s="201"/>
      <c r="C136" s="209"/>
      <c r="D136" s="209"/>
      <c r="E136" s="209"/>
      <c r="F136" s="209"/>
      <c r="G136" s="209"/>
      <c r="H136" s="153"/>
      <c r="I136" s="289"/>
      <c r="J136" s="289"/>
      <c r="K136" s="289"/>
      <c r="L136" s="289"/>
      <c r="M136" s="289"/>
      <c r="N136" s="289"/>
      <c r="O136" s="289"/>
      <c r="P136" s="289"/>
      <c r="Q136" s="289"/>
      <c r="R136" s="289"/>
      <c r="S136" s="289"/>
      <c r="T136" s="289"/>
      <c r="U136" s="289"/>
      <c r="V136" s="289"/>
      <c r="W136" s="289"/>
      <c r="X136" s="289"/>
      <c r="Y136" s="289"/>
      <c r="Z136" s="289"/>
      <c r="AA136" s="289"/>
      <c r="AB136" s="150"/>
    </row>
    <row r="137" customHeight="1" spans="1:51">
      <c r="A137" s="234"/>
      <c r="B137" s="201"/>
      <c r="C137" s="209"/>
      <c r="D137" s="209"/>
      <c r="E137" s="209"/>
      <c r="F137" s="209"/>
      <c r="G137" s="209"/>
      <c r="H137" s="153"/>
      <c r="I137" s="289"/>
      <c r="J137" s="289"/>
      <c r="K137" s="289"/>
      <c r="L137" s="289"/>
      <c r="M137" s="289"/>
      <c r="N137" s="289"/>
      <c r="O137" s="289"/>
      <c r="P137" s="289"/>
      <c r="Q137" s="289"/>
      <c r="R137" s="289"/>
      <c r="S137" s="289"/>
      <c r="T137" s="289"/>
      <c r="U137" s="289"/>
      <c r="V137" s="289"/>
      <c r="W137" s="289"/>
      <c r="X137" s="289"/>
      <c r="Y137" s="289"/>
      <c r="Z137" s="289"/>
      <c r="AA137" s="289"/>
      <c r="AB137" s="150"/>
    </row>
    <row r="138" customHeight="1" spans="1:51">
      <c r="A138" s="234"/>
      <c r="B138" s="187"/>
      <c r="C138" s="150"/>
      <c r="D138" s="150"/>
      <c r="E138" s="150"/>
      <c r="F138" s="150"/>
      <c r="G138" s="150"/>
      <c r="H138" s="190">
        <f>SUM(H112:H137)</f>
        <v>0</v>
      </c>
      <c r="I138" s="150"/>
      <c r="J138" s="150"/>
      <c r="K138" s="150"/>
      <c r="L138" s="150"/>
      <c r="M138" s="150"/>
      <c r="N138" s="150"/>
      <c r="O138" s="150"/>
      <c r="P138" s="150"/>
      <c r="Q138" s="150"/>
      <c r="R138" s="150"/>
      <c r="S138" s="150"/>
      <c r="T138" s="150"/>
      <c r="U138" s="150"/>
      <c r="V138" s="150"/>
      <c r="W138" s="150"/>
      <c r="X138" s="150"/>
      <c r="Y138" s="150"/>
      <c r="Z138" s="150"/>
      <c r="AA138" s="274"/>
      <c r="AB138" s="150"/>
    </row>
    <row r="139" customHeight="1" spans="1:51">
      <c r="A139" s="234"/>
      <c r="B139" s="292" t="s">
        <v>175</v>
      </c>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150"/>
    </row>
    <row r="140" customHeight="1" spans="1:51">
      <c r="A140" s="234"/>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c r="Y140" s="293"/>
      <c r="Z140" s="293"/>
      <c r="AA140" s="293"/>
      <c r="AB140" s="150"/>
    </row>
    <row r="141" customHeight="1" spans="1:51">
      <c r="A141" s="234"/>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c r="AA141" s="293"/>
      <c r="AB141" s="150"/>
    </row>
    <row r="142" customHeight="1" spans="1:51">
      <c r="A142" s="234"/>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c r="AA142" s="293"/>
      <c r="AB142" s="150"/>
    </row>
    <row r="143" customHeight="1" spans="1:51">
      <c r="A143" s="234"/>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150"/>
    </row>
    <row r="144" customHeight="1" spans="1:51">
      <c r="A144" s="234"/>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c r="AA144" s="293"/>
      <c r="AB144" s="150"/>
    </row>
    <row r="145" customHeight="1" spans="1:28">
      <c r="A145" s="234"/>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c r="AA145" s="293"/>
      <c r="AB145" s="150"/>
    </row>
    <row r="146" customHeight="1" spans="1:28">
      <c r="A146" s="234"/>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c r="AA146" s="293"/>
      <c r="AB146" s="150"/>
    </row>
    <row r="147" customHeight="1" spans="1:28">
      <c r="A147" s="234"/>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c r="AA147" s="293"/>
      <c r="AB147" s="150"/>
    </row>
    <row r="148" customHeight="1" spans="1:28">
      <c r="A148" s="234"/>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150"/>
    </row>
    <row r="149" customHeight="1" spans="1:28">
      <c r="A149" s="234"/>
      <c r="B149" s="293"/>
      <c r="C149" s="293"/>
      <c r="D149" s="293"/>
      <c r="E149" s="293"/>
      <c r="F149" s="293"/>
      <c r="G149" s="293"/>
      <c r="H149" s="293"/>
      <c r="I149" s="293"/>
      <c r="J149" s="293"/>
      <c r="K149" s="293"/>
      <c r="L149" s="293"/>
      <c r="M149" s="293"/>
      <c r="N149" s="293"/>
      <c r="O149" s="293"/>
      <c r="P149" s="293"/>
      <c r="Q149" s="293"/>
      <c r="R149" s="293"/>
      <c r="S149" s="293"/>
      <c r="T149" s="293"/>
      <c r="U149" s="293"/>
      <c r="V149" s="293"/>
      <c r="W149" s="293"/>
      <c r="X149" s="293"/>
      <c r="Y149" s="293"/>
      <c r="Z149" s="293"/>
      <c r="AA149" s="293"/>
      <c r="AB149" s="150"/>
    </row>
    <row r="150" customHeight="1" spans="1:28">
      <c r="A150" s="234"/>
      <c r="B150" s="293"/>
      <c r="C150" s="293"/>
      <c r="D150" s="293"/>
      <c r="E150" s="293"/>
      <c r="F150" s="293"/>
      <c r="G150" s="293"/>
      <c r="H150" s="293"/>
      <c r="I150" s="293"/>
      <c r="J150" s="293"/>
      <c r="K150" s="293"/>
      <c r="L150" s="293"/>
      <c r="M150" s="293"/>
      <c r="N150" s="293"/>
      <c r="O150" s="293"/>
      <c r="P150" s="293"/>
      <c r="Q150" s="293"/>
      <c r="R150" s="293"/>
      <c r="S150" s="293"/>
      <c r="T150" s="293"/>
      <c r="U150" s="293"/>
      <c r="V150" s="293"/>
      <c r="W150" s="293"/>
      <c r="X150" s="293"/>
      <c r="Y150" s="293"/>
      <c r="Z150" s="293"/>
      <c r="AA150" s="293"/>
      <c r="AB150" s="150"/>
    </row>
    <row r="151" customHeight="1" spans="1:28">
      <c r="A151" s="234"/>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150"/>
    </row>
    <row r="152" customHeight="1" spans="1:28">
      <c r="A152" s="234"/>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150"/>
    </row>
    <row r="153" customHeight="1" spans="1:28">
      <c r="A153" s="234"/>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150"/>
    </row>
    <row r="154" customHeight="1" spans="1:28">
      <c r="A154" s="234"/>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150"/>
    </row>
    <row r="155" customHeight="1" spans="1:28">
      <c r="A155" s="234"/>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150"/>
    </row>
    <row r="156" customHeight="1" spans="1:28">
      <c r="A156" s="234"/>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150"/>
    </row>
    <row r="157" customHeight="1" spans="1:28">
      <c r="A157" s="234"/>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150"/>
    </row>
    <row r="158" customHeight="1" spans="1:28">
      <c r="A158" s="234"/>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c r="AA158" s="293"/>
      <c r="AB158" s="150"/>
    </row>
    <row r="159" customHeight="1" spans="1:28">
      <c r="A159" s="294"/>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150"/>
    </row>
  </sheetData>
  <sheetProtection formatCells="0" formatColumns="0" formatRows="0" insertRows="0" insertColumns="0" insertHyperlinks="0" deleteColumns="0" deleteRows="0" sort="0" autoFilter="0" pivotTables="0"/>
  <mergeCells count="408">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R23"/>
    <mergeCell ref="T23:AA23"/>
    <mergeCell ref="B24:C24"/>
    <mergeCell ref="N24:O24"/>
    <mergeCell ref="T24:U24"/>
    <mergeCell ref="Y24:Z24"/>
    <mergeCell ref="B25:C25"/>
    <mergeCell ref="P25:Q25"/>
    <mergeCell ref="T25:U25"/>
    <mergeCell ref="Y25:Z25"/>
    <mergeCell ref="B26:C26"/>
    <mergeCell ref="P26:Q26"/>
    <mergeCell ref="T26:U26"/>
    <mergeCell ref="Y26:Z26"/>
    <mergeCell ref="B27:C27"/>
    <mergeCell ref="P27:Q27"/>
    <mergeCell ref="T27:U27"/>
    <mergeCell ref="Y27:Z27"/>
    <mergeCell ref="B29:C29"/>
    <mergeCell ref="D29:E29"/>
    <mergeCell ref="F29:G29"/>
    <mergeCell ref="H29:I29"/>
    <mergeCell ref="J29:K29"/>
    <mergeCell ref="L29:M29"/>
    <mergeCell ref="N29:O29"/>
    <mergeCell ref="P29:Q29"/>
    <mergeCell ref="T29:U29"/>
    <mergeCell ref="V29:W29"/>
    <mergeCell ref="X29:Y29"/>
    <mergeCell ref="Z29:AA29"/>
    <mergeCell ref="B30:C30"/>
    <mergeCell ref="D30:E30"/>
    <mergeCell ref="F30:G30"/>
    <mergeCell ref="H30:I30"/>
    <mergeCell ref="J30:K30"/>
    <mergeCell ref="L30:M30"/>
    <mergeCell ref="N30:O30"/>
    <mergeCell ref="P30:Q30"/>
    <mergeCell ref="V30:W30"/>
    <mergeCell ref="X30:Y30"/>
    <mergeCell ref="Z30:AA30"/>
    <mergeCell ref="B31:C31"/>
    <mergeCell ref="D31:E31"/>
    <mergeCell ref="F31:G31"/>
    <mergeCell ref="H31:I31"/>
    <mergeCell ref="J31:K31"/>
    <mergeCell ref="L31:M31"/>
    <mergeCell ref="N31:O31"/>
    <mergeCell ref="P31:Q31"/>
    <mergeCell ref="V31:W31"/>
    <mergeCell ref="X31:Y31"/>
    <mergeCell ref="Z31:AA31"/>
    <mergeCell ref="D33:E33"/>
    <mergeCell ref="F33:G33"/>
    <mergeCell ref="H33:I33"/>
    <mergeCell ref="J33:K33"/>
    <mergeCell ref="L33:M33"/>
    <mergeCell ref="N33:R33"/>
    <mergeCell ref="T33:AA33"/>
    <mergeCell ref="D34:E34"/>
    <mergeCell ref="F34:G34"/>
    <mergeCell ref="H34:I34"/>
    <mergeCell ref="J34:K34"/>
    <mergeCell ref="L34:M34"/>
    <mergeCell ref="N34:R34"/>
    <mergeCell ref="X34:AA34"/>
    <mergeCell ref="X35:Y35"/>
    <mergeCell ref="Z35:AA35"/>
    <mergeCell ref="B36:R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X45:Y45"/>
    <mergeCell ref="Z45:AA45"/>
    <mergeCell ref="B46:C46"/>
    <mergeCell ref="J46:Q46"/>
    <mergeCell ref="X46:Y46"/>
    <mergeCell ref="Z46:AA46"/>
    <mergeCell ref="B47:C47"/>
    <mergeCell ref="J47:Q47"/>
    <mergeCell ref="X47:Y47"/>
    <mergeCell ref="Z47:AA47"/>
    <mergeCell ref="B48:C48"/>
    <mergeCell ref="J48:Q48"/>
    <mergeCell ref="X48:Y48"/>
    <mergeCell ref="Z48:AA48"/>
    <mergeCell ref="B49:C49"/>
    <mergeCell ref="J49:Q49"/>
    <mergeCell ref="X49:Y49"/>
    <mergeCell ref="Z49:AA49"/>
    <mergeCell ref="B50:C50"/>
    <mergeCell ref="J50:Q50"/>
    <mergeCell ref="X50:Y50"/>
    <mergeCell ref="Z50:AA50"/>
    <mergeCell ref="B51:C51"/>
    <mergeCell ref="J51:Q51"/>
    <mergeCell ref="T51:AA51"/>
    <mergeCell ref="B52:C52"/>
    <mergeCell ref="J52:Q52"/>
    <mergeCell ref="T52:U52"/>
    <mergeCell ref="V52:AA52"/>
    <mergeCell ref="B53:C53"/>
    <mergeCell ref="J53:Q53"/>
    <mergeCell ref="T53:U53"/>
    <mergeCell ref="V53:AA53"/>
    <mergeCell ref="B54:C54"/>
    <mergeCell ref="J54:Q54"/>
    <mergeCell ref="T54:U54"/>
    <mergeCell ref="V54:AA54"/>
    <mergeCell ref="B55:C55"/>
    <mergeCell ref="J55:Q55"/>
    <mergeCell ref="T55:U55"/>
    <mergeCell ref="V55:AA55"/>
    <mergeCell ref="B56:C56"/>
    <mergeCell ref="J56:Q56"/>
    <mergeCell ref="T56:U56"/>
    <mergeCell ref="V56:AA56"/>
    <mergeCell ref="B57:C57"/>
    <mergeCell ref="J57:Q57"/>
    <mergeCell ref="T57:U57"/>
    <mergeCell ref="V57:AA57"/>
    <mergeCell ref="B59:R59"/>
    <mergeCell ref="T59:AA59"/>
    <mergeCell ref="B60:E60"/>
    <mergeCell ref="F60:H60"/>
    <mergeCell ref="I60:K60"/>
    <mergeCell ref="L60:M60"/>
    <mergeCell ref="N60:O60"/>
    <mergeCell ref="P60:R60"/>
    <mergeCell ref="B61:E61"/>
    <mergeCell ref="F61:H61"/>
    <mergeCell ref="I61:K61"/>
    <mergeCell ref="L61:M61"/>
    <mergeCell ref="N61:O61"/>
    <mergeCell ref="P61:R61"/>
    <mergeCell ref="B62:E62"/>
    <mergeCell ref="F62:H62"/>
    <mergeCell ref="I62:K62"/>
    <mergeCell ref="L62:M62"/>
    <mergeCell ref="N62:O62"/>
    <mergeCell ref="P62:R62"/>
    <mergeCell ref="B63:R63"/>
    <mergeCell ref="B64:E64"/>
    <mergeCell ref="F64:R64"/>
    <mergeCell ref="B65:E65"/>
    <mergeCell ref="F65:R65"/>
    <mergeCell ref="B66:E66"/>
    <mergeCell ref="F66:R66"/>
    <mergeCell ref="B67:E67"/>
    <mergeCell ref="F67:R67"/>
    <mergeCell ref="B68:E68"/>
    <mergeCell ref="F68:R68"/>
    <mergeCell ref="B69:E69"/>
    <mergeCell ref="F69:R69"/>
    <mergeCell ref="B71:R71"/>
    <mergeCell ref="T71:AA71"/>
    <mergeCell ref="B72:E72"/>
    <mergeCell ref="L72:Q72"/>
    <mergeCell ref="T72:AA72"/>
    <mergeCell ref="B73:E73"/>
    <mergeCell ref="L73:Q73"/>
    <mergeCell ref="B74:E74"/>
    <mergeCell ref="L74:Q74"/>
    <mergeCell ref="B75:E75"/>
    <mergeCell ref="L75:Q75"/>
    <mergeCell ref="T75:AA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T84:AA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B93:E93"/>
    <mergeCell ref="L93:Q93"/>
    <mergeCell ref="B94:E94"/>
    <mergeCell ref="L94:Q94"/>
    <mergeCell ref="B95:E95"/>
    <mergeCell ref="L95:Q95"/>
    <mergeCell ref="B96:E96"/>
    <mergeCell ref="L96:Q96"/>
    <mergeCell ref="B97:E97"/>
    <mergeCell ref="L97:Q97"/>
    <mergeCell ref="B98:E98"/>
    <mergeCell ref="L98:Q98"/>
    <mergeCell ref="Z99:AA99"/>
    <mergeCell ref="B100:AA100"/>
    <mergeCell ref="B101:G101"/>
    <mergeCell ref="I101:AA101"/>
    <mergeCell ref="B102:G102"/>
    <mergeCell ref="I102:AA102"/>
    <mergeCell ref="B103:G103"/>
    <mergeCell ref="I103:AA103"/>
    <mergeCell ref="B104:G104"/>
    <mergeCell ref="I104:AA104"/>
    <mergeCell ref="B105:AA105"/>
    <mergeCell ref="B106:G106"/>
    <mergeCell ref="I106:AA106"/>
    <mergeCell ref="B107:G107"/>
    <mergeCell ref="I107:AA107"/>
    <mergeCell ref="B108:G108"/>
    <mergeCell ref="I108:AA108"/>
    <mergeCell ref="B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C132:G132"/>
    <mergeCell ref="I132:AA132"/>
    <mergeCell ref="C133:G133"/>
    <mergeCell ref="I133:AA133"/>
    <mergeCell ref="C134:G134"/>
    <mergeCell ref="I134:AA134"/>
    <mergeCell ref="C135:G135"/>
    <mergeCell ref="I135:AA135"/>
    <mergeCell ref="C136:G136"/>
    <mergeCell ref="I136:AA136"/>
    <mergeCell ref="C137:G137"/>
    <mergeCell ref="I137:AA137"/>
    <mergeCell ref="B139:AA139"/>
    <mergeCell ref="B111:B117"/>
    <mergeCell ref="B118:B121"/>
    <mergeCell ref="B122:B125"/>
    <mergeCell ref="B126:B129"/>
    <mergeCell ref="B130:B133"/>
    <mergeCell ref="B134:B137"/>
    <mergeCell ref="D25:D27"/>
    <mergeCell ref="F25:F27"/>
    <mergeCell ref="H25:H27"/>
    <mergeCell ref="J25:J27"/>
    <mergeCell ref="L25:L27"/>
    <mergeCell ref="M6:M7"/>
    <mergeCell ref="M12:M14"/>
    <mergeCell ref="M15:M16"/>
    <mergeCell ref="M17:M19"/>
    <mergeCell ref="M20:M21"/>
    <mergeCell ref="N25:N27"/>
    <mergeCell ref="T2:T4"/>
    <mergeCell ref="O6:AA7"/>
    <mergeCell ref="B9:C10"/>
    <mergeCell ref="L9:M10"/>
    <mergeCell ref="T12:U21"/>
    <mergeCell ref="V12:AA21"/>
    <mergeCell ref="N13:R21"/>
    <mergeCell ref="N9:AA10"/>
    <mergeCell ref="B33:C34"/>
    <mergeCell ref="T76:AA77"/>
    <mergeCell ref="W24:X27"/>
    <mergeCell ref="T30:U31"/>
    <mergeCell ref="B140:AA158"/>
    <mergeCell ref="T73:AA74"/>
    <mergeCell ref="T79:AA82"/>
    <mergeCell ref="T85:AA98"/>
    <mergeCell ref="T60:U61"/>
    <mergeCell ref="T62:U63"/>
    <mergeCell ref="T64:U65"/>
    <mergeCell ref="T66:U67"/>
    <mergeCell ref="V60:AA61"/>
    <mergeCell ref="V62:AA63"/>
    <mergeCell ref="V64:AA65"/>
    <mergeCell ref="V66:AA67"/>
    <mergeCell ref="T68:U69"/>
    <mergeCell ref="V68:AA69"/>
  </mergeCells>
  <dataValidations count="4">
    <dataValidation type="list" allowBlank="1" showInputMessage="1" showErrorMessage="1" sqref="X2 F34:K34">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73:F98">
      <formula1>"-,S,T,Ag,Int,WP,Per,Fel"</formula1>
    </dataValidation>
  </dataValidations>
  <pageMargins left="0.7" right="0.7" top="0.75" bottom="0.75" header="0.511811023622047" footer="0.511811023622047"/>
  <pageSetup paperSize="9" orientation="portrait" horizontalDpi="300" verticalDpi="300"/>
  <headerFooter/>
  <ignoredErrors>
    <ignoredError sqref="L7:M7 A41:S58 A39:S39 B36:S36 C13:C14 E13:H13 J13:BQ13 O34:S34 AB34:BQ36 AB41:BQ53" formulaRange="1"/>
    <ignoredError sqref="AB54:AC58 AC59:AC63" formula="1" formulaRange="1"/>
    <ignoredError sqref="I7:J7 A37:S37 A35:S35 R4:X4 A40:G40 I40:S40 O4:P4 K4:M4 F95:S98 F74:S93 G73:S73 B71:S72 G94:S94 G38:S38 A38:E38 A29:S33 A22:BQ22 A15:C16 A17:R17 A18:C18 E18:R18 A19:R21 A11:BQ11 M9:BQ10 K9:K10 I9:I10 E10:F10 A10:C10 A9:F9 A8:BQ8 P6:BQ6 I6:M6 A6:E6 A5:BQ5 A4:I4 A133:BQ159 AZ110:BQ132 A110:AC132 AA2:BQ4 AZ54:BQ63 A99:AC99 AB71:AC98 O7:BQ7 A7 X3:Y3 C3:V3 A3 Y2 A2:W2 A1:BQ1 A70:AC70 A34:M34 A13:A14 A12:H12 AC64:AC69 E14:R16 T14:BQ21 AB37:BQ40" numberStoredAsText="1" formula="1" formulaRange="1"/>
    <ignoredError sqref="AD54:AY63 AZ99:BQ99 H40:S40" formula="1"/>
    <ignoredError sqref="AD64:AY64 AZ71:BQ98 G7:H7 T40:AA40 H40:S40 A36 S15:S17 Z2:Z3 K7 T35:AA35 Y4:Z4 J4:N4 A95:E98 A74:E93 A73:F73 A71:A72 A94:F94 A38:F38 T29:AA33 D15:D16 A18:S21 A8:BQ10 A5:BQ5 A6:O6 A110:AY132" numberStoredAsText="1" formula="1"/>
    <ignoredError sqref="A39:S39 A41:AA58 B36:S36 L7:M7" numberStoredAsText="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topLeftCell="A56" workbookViewId="0">
      <selection activeCell="I72" sqref="I72"/>
    </sheetView>
  </sheetViews>
  <sheetFormatPr defaultColWidth="5.16666666666667" defaultRowHeight="18" customHeight="1"/>
  <cols>
    <col min="1" max="1" width="2.40833333333333" style="76" customWidth="1"/>
    <col min="2" max="18" width="5.15833333333333" style="76"/>
    <col min="19" max="19" width="2.40833333333333" style="76" customWidth="1"/>
    <col min="20" max="25" width="5.15833333333333" style="75"/>
    <col min="26" max="26" width="5.16666666666667" style="75"/>
    <col min="27" max="27" width="5.15833333333333" style="75"/>
    <col min="28" max="28" width="2.40833333333333" style="75" customWidth="1"/>
    <col min="29" max="29" width="7.25" style="75" customWidth="1"/>
    <col min="30" max="16384" width="5.15833333333333" style="75"/>
  </cols>
  <sheetData>
    <row r="1" s="75" customFormat="1" customHeight="1" spans="1:19">
      <c r="A1" s="77"/>
      <c r="B1" s="78" t="s">
        <v>176</v>
      </c>
      <c r="C1" s="79"/>
      <c r="D1" s="79"/>
      <c r="E1" s="79"/>
      <c r="F1" s="79"/>
      <c r="G1" s="79"/>
      <c r="H1" s="79"/>
      <c r="I1" s="79"/>
      <c r="J1" s="79"/>
      <c r="K1" s="79"/>
      <c r="L1" s="79"/>
      <c r="M1" s="79"/>
      <c r="N1" s="79"/>
      <c r="O1" s="79"/>
      <c r="P1" s="79"/>
      <c r="Q1" s="79"/>
      <c r="R1" s="80"/>
      <c r="S1" s="77"/>
    </row>
    <row r="2" s="75" customFormat="1" customHeight="1" spans="1:19">
      <c r="A2" s="77"/>
      <c r="B2" s="81" t="s">
        <v>177</v>
      </c>
      <c r="C2" s="81"/>
      <c r="D2" s="81"/>
      <c r="E2" s="81"/>
      <c r="F2" s="81"/>
      <c r="G2" s="81"/>
      <c r="H2" s="81"/>
      <c r="I2" s="81"/>
      <c r="J2" s="81"/>
      <c r="K2" s="81"/>
      <c r="L2" s="81"/>
      <c r="M2" s="81"/>
      <c r="N2" s="81"/>
      <c r="O2" s="81"/>
      <c r="P2" s="81"/>
      <c r="Q2" s="81"/>
      <c r="R2" s="81"/>
      <c r="S2" s="77"/>
    </row>
    <row r="3" s="75" customFormat="1" customHeight="1" spans="1:19">
      <c r="A3" s="77"/>
      <c r="B3" s="82" t="s">
        <v>178</v>
      </c>
      <c r="C3" s="82"/>
      <c r="D3" s="83" t="s">
        <v>179</v>
      </c>
      <c r="E3" s="84"/>
      <c r="F3" s="84"/>
      <c r="G3" s="84"/>
      <c r="H3" s="84"/>
      <c r="I3" s="85"/>
      <c r="J3" s="86" t="s">
        <v>180</v>
      </c>
      <c r="K3" s="86" t="s">
        <v>181</v>
      </c>
      <c r="L3" s="86"/>
      <c r="M3" s="86"/>
      <c r="N3" s="86"/>
      <c r="O3" s="86"/>
      <c r="P3" s="86"/>
      <c r="Q3" s="86" t="s">
        <v>182</v>
      </c>
      <c r="R3" s="86" t="s">
        <v>183</v>
      </c>
      <c r="S3" s="77"/>
    </row>
    <row r="4" s="75" customFormat="1" customHeight="1" spans="1:19">
      <c r="A4" s="77"/>
      <c r="B4" s="87"/>
      <c r="C4" s="87"/>
      <c r="D4" s="88"/>
      <c r="E4" s="89"/>
      <c r="F4" s="89"/>
      <c r="G4" s="89"/>
      <c r="H4" s="89"/>
      <c r="I4" s="90"/>
      <c r="J4" s="87"/>
      <c r="K4" s="87"/>
      <c r="L4" s="87"/>
      <c r="M4" s="87"/>
      <c r="N4" s="87"/>
      <c r="O4" s="87"/>
      <c r="P4" s="87"/>
      <c r="Q4" s="87"/>
      <c r="R4" s="87">
        <f>人物!K$13</f>
        <v>0</v>
      </c>
      <c r="S4" s="77"/>
    </row>
    <row r="5" s="75" customFormat="1" customHeight="1" spans="1:19">
      <c r="A5" s="77"/>
      <c r="B5" s="91" t="s">
        <v>184</v>
      </c>
      <c r="C5" s="91"/>
      <c r="D5" s="91"/>
      <c r="E5" s="91"/>
      <c r="F5" s="91"/>
      <c r="G5" s="91"/>
      <c r="H5" s="91"/>
      <c r="I5" s="91"/>
      <c r="J5" s="91"/>
      <c r="K5" s="91"/>
      <c r="L5" s="91"/>
      <c r="M5" s="91"/>
      <c r="N5" s="91"/>
      <c r="O5" s="91"/>
      <c r="P5" s="91"/>
      <c r="Q5" s="91"/>
      <c r="R5" s="91"/>
      <c r="S5" s="77"/>
    </row>
    <row r="6" s="75" customFormat="1" customHeight="1" spans="1:19">
      <c r="A6" s="77"/>
      <c r="B6" s="92"/>
      <c r="C6" s="92"/>
      <c r="D6" s="92"/>
      <c r="E6" s="92"/>
      <c r="F6" s="92"/>
      <c r="G6" s="92"/>
      <c r="H6" s="92"/>
      <c r="I6" s="92"/>
      <c r="J6" s="92"/>
      <c r="K6" s="92"/>
      <c r="L6" s="92"/>
      <c r="M6" s="92"/>
      <c r="N6" s="92"/>
      <c r="O6" s="92"/>
      <c r="P6" s="92"/>
      <c r="Q6" s="92"/>
      <c r="R6" s="92"/>
      <c r="S6" s="77"/>
    </row>
    <row r="7" s="75" customFormat="1" customHeight="1" spans="1:19">
      <c r="A7" s="77"/>
      <c r="B7" s="92"/>
      <c r="C7" s="92"/>
      <c r="D7" s="92"/>
      <c r="E7" s="92"/>
      <c r="F7" s="92"/>
      <c r="G7" s="92"/>
      <c r="H7" s="92"/>
      <c r="I7" s="92"/>
      <c r="J7" s="92"/>
      <c r="K7" s="92"/>
      <c r="L7" s="92"/>
      <c r="M7" s="92"/>
      <c r="N7" s="92"/>
      <c r="O7" s="92"/>
      <c r="P7" s="92"/>
      <c r="Q7" s="92"/>
      <c r="R7" s="92"/>
      <c r="S7" s="77"/>
    </row>
    <row r="8" s="75" customFormat="1" customHeight="1" spans="1:19">
      <c r="A8" s="77"/>
      <c r="B8" s="91" t="s">
        <v>185</v>
      </c>
      <c r="C8" s="91"/>
      <c r="D8" s="91"/>
      <c r="E8" s="91"/>
      <c r="F8" s="91"/>
      <c r="G8" s="91"/>
      <c r="H8" s="91"/>
      <c r="I8" s="91"/>
      <c r="J8" s="91"/>
      <c r="K8" s="91"/>
      <c r="L8" s="91"/>
      <c r="M8" s="91"/>
      <c r="N8" s="91"/>
      <c r="O8" s="91"/>
      <c r="P8" s="91"/>
      <c r="Q8" s="91"/>
      <c r="R8" s="91"/>
      <c r="S8" s="77"/>
    </row>
    <row r="9" s="75" customFormat="1" customHeight="1" spans="1:19">
      <c r="A9" s="77"/>
      <c r="B9" s="92"/>
      <c r="C9" s="92"/>
      <c r="D9" s="92"/>
      <c r="E9" s="92"/>
      <c r="F9" s="92"/>
      <c r="G9" s="92"/>
      <c r="H9" s="92"/>
      <c r="I9" s="92"/>
      <c r="J9" s="92"/>
      <c r="K9" s="92"/>
      <c r="L9" s="92"/>
      <c r="M9" s="92"/>
      <c r="N9" s="92"/>
      <c r="O9" s="92"/>
      <c r="P9" s="92"/>
      <c r="Q9" s="92"/>
      <c r="R9" s="92"/>
      <c r="S9" s="77"/>
    </row>
    <row r="10" s="75" customFormat="1" customHeight="1" spans="1:19">
      <c r="A10" s="77"/>
      <c r="B10" s="92"/>
      <c r="C10" s="92"/>
      <c r="D10" s="92"/>
      <c r="E10" s="92"/>
      <c r="F10" s="92"/>
      <c r="G10" s="92"/>
      <c r="H10" s="92"/>
      <c r="I10" s="92"/>
      <c r="J10" s="92"/>
      <c r="K10" s="92"/>
      <c r="L10" s="92"/>
      <c r="M10" s="92"/>
      <c r="N10" s="92"/>
      <c r="O10" s="92"/>
      <c r="P10" s="92"/>
      <c r="Q10" s="92"/>
      <c r="R10" s="92"/>
      <c r="S10" s="77"/>
    </row>
    <row r="11" s="75" customFormat="1" customHeight="1" spans="1:19">
      <c r="A11" s="77"/>
      <c r="B11" s="78" t="s">
        <v>186</v>
      </c>
      <c r="C11" s="79"/>
      <c r="D11" s="79"/>
      <c r="E11" s="79"/>
      <c r="F11" s="79"/>
      <c r="G11" s="79"/>
      <c r="H11" s="79"/>
      <c r="I11" s="79"/>
      <c r="J11" s="79"/>
      <c r="K11" s="79"/>
      <c r="L11" s="79"/>
      <c r="M11" s="79"/>
      <c r="N11" s="79"/>
      <c r="O11" s="79"/>
      <c r="P11" s="79"/>
      <c r="Q11" s="79"/>
      <c r="R11" s="80"/>
      <c r="S11" s="77"/>
    </row>
    <row r="12" s="75" customFormat="1" customHeight="1" spans="1:19">
      <c r="A12" s="77"/>
      <c r="B12" s="93" t="s">
        <v>177</v>
      </c>
      <c r="C12" s="93"/>
      <c r="D12" s="93"/>
      <c r="E12" s="93"/>
      <c r="F12" s="93"/>
      <c r="G12" s="93"/>
      <c r="H12" s="93"/>
      <c r="I12" s="93"/>
      <c r="J12" s="93"/>
      <c r="K12" s="93"/>
      <c r="L12" s="93"/>
      <c r="M12" s="93"/>
      <c r="N12" s="93"/>
      <c r="O12" s="93"/>
      <c r="P12" s="93"/>
      <c r="Q12" s="93"/>
      <c r="R12" s="93"/>
      <c r="S12" s="77"/>
    </row>
    <row r="13" s="75" customFormat="1" customHeight="1" spans="1:19">
      <c r="A13" s="77"/>
      <c r="B13" s="91" t="s">
        <v>178</v>
      </c>
      <c r="C13" s="91"/>
      <c r="D13" s="86" t="s">
        <v>187</v>
      </c>
      <c r="E13" s="86"/>
      <c r="F13" s="86" t="s">
        <v>188</v>
      </c>
      <c r="G13" s="86"/>
      <c r="H13" s="86"/>
      <c r="I13" s="86" t="s">
        <v>180</v>
      </c>
      <c r="J13" s="86" t="s">
        <v>181</v>
      </c>
      <c r="K13" s="86"/>
      <c r="L13" s="86"/>
      <c r="M13" s="86"/>
      <c r="N13" s="86"/>
      <c r="O13" s="86"/>
      <c r="P13" s="86"/>
      <c r="Q13" s="86" t="s">
        <v>182</v>
      </c>
      <c r="R13" s="86" t="s">
        <v>189</v>
      </c>
      <c r="S13" s="77"/>
    </row>
    <row r="14" s="75" customFormat="1" customHeight="1" spans="1:19">
      <c r="A14" s="77"/>
      <c r="B14" s="87"/>
      <c r="C14" s="87"/>
      <c r="D14" s="87"/>
      <c r="E14" s="87"/>
      <c r="F14" s="94"/>
      <c r="G14" s="94"/>
      <c r="H14" s="94"/>
      <c r="I14" s="87"/>
      <c r="J14" s="87"/>
      <c r="K14" s="87"/>
      <c r="L14" s="87"/>
      <c r="M14" s="87"/>
      <c r="N14" s="87"/>
      <c r="O14" s="87"/>
      <c r="P14" s="87"/>
      <c r="Q14" s="87"/>
      <c r="R14" s="87">
        <f>人物!K$14</f>
        <v>0</v>
      </c>
      <c r="S14" s="77"/>
    </row>
    <row r="15" s="75" customFormat="1" customHeight="1" spans="1:19">
      <c r="A15" s="77"/>
      <c r="B15" s="91" t="s">
        <v>179</v>
      </c>
      <c r="C15" s="91"/>
      <c r="D15" s="87"/>
      <c r="E15" s="87"/>
      <c r="F15" s="87"/>
      <c r="G15" s="87"/>
      <c r="H15" s="87"/>
      <c r="I15" s="91" t="s">
        <v>190</v>
      </c>
      <c r="J15" s="87"/>
      <c r="K15" s="87"/>
      <c r="L15" s="87"/>
      <c r="M15" s="87"/>
      <c r="N15" s="87"/>
      <c r="O15" s="91" t="s">
        <v>191</v>
      </c>
      <c r="P15" s="91"/>
      <c r="Q15" s="88"/>
      <c r="R15" s="90"/>
      <c r="S15" s="77"/>
    </row>
    <row r="16" s="75" customFormat="1" customHeight="1" spans="1:19">
      <c r="A16" s="77"/>
      <c r="B16" s="91" t="s">
        <v>184</v>
      </c>
      <c r="C16" s="91"/>
      <c r="D16" s="91"/>
      <c r="E16" s="91"/>
      <c r="F16" s="91"/>
      <c r="G16" s="91"/>
      <c r="H16" s="91"/>
      <c r="I16" s="91"/>
      <c r="J16" s="91"/>
      <c r="K16" s="91"/>
      <c r="L16" s="91"/>
      <c r="M16" s="91"/>
      <c r="N16" s="91"/>
      <c r="O16" s="91"/>
      <c r="P16" s="91"/>
      <c r="Q16" s="91"/>
      <c r="R16" s="91"/>
      <c r="S16" s="77"/>
    </row>
    <row r="17" s="75" customFormat="1" customHeight="1" spans="1:19">
      <c r="A17" s="77"/>
      <c r="B17" s="92"/>
      <c r="C17" s="92"/>
      <c r="D17" s="92"/>
      <c r="E17" s="92"/>
      <c r="F17" s="92"/>
      <c r="G17" s="92"/>
      <c r="H17" s="92"/>
      <c r="I17" s="92"/>
      <c r="J17" s="92"/>
      <c r="K17" s="92"/>
      <c r="L17" s="92"/>
      <c r="M17" s="92"/>
      <c r="N17" s="92"/>
      <c r="O17" s="92"/>
      <c r="P17" s="92"/>
      <c r="Q17" s="92"/>
      <c r="R17" s="92"/>
      <c r="S17" s="77"/>
    </row>
    <row r="18" s="75" customFormat="1" customHeight="1" spans="1:19">
      <c r="A18" s="77"/>
      <c r="B18" s="92"/>
      <c r="C18" s="92"/>
      <c r="D18" s="92"/>
      <c r="E18" s="92"/>
      <c r="F18" s="92"/>
      <c r="G18" s="92"/>
      <c r="H18" s="92"/>
      <c r="I18" s="92"/>
      <c r="J18" s="92"/>
      <c r="K18" s="92"/>
      <c r="L18" s="92"/>
      <c r="M18" s="92"/>
      <c r="N18" s="92"/>
      <c r="O18" s="92"/>
      <c r="P18" s="92"/>
      <c r="Q18" s="92"/>
      <c r="R18" s="92"/>
      <c r="S18" s="77"/>
    </row>
    <row r="19" s="75" customFormat="1" customHeight="1" spans="1:19">
      <c r="A19" s="77"/>
      <c r="B19" s="91" t="s">
        <v>185</v>
      </c>
      <c r="C19" s="91"/>
      <c r="D19" s="91"/>
      <c r="E19" s="91"/>
      <c r="F19" s="91"/>
      <c r="G19" s="91"/>
      <c r="H19" s="91"/>
      <c r="I19" s="91"/>
      <c r="J19" s="91"/>
      <c r="K19" s="91"/>
      <c r="L19" s="91"/>
      <c r="M19" s="91"/>
      <c r="N19" s="91"/>
      <c r="O19" s="91"/>
      <c r="P19" s="91"/>
      <c r="Q19" s="91"/>
      <c r="R19" s="91"/>
      <c r="S19" s="77"/>
    </row>
    <row r="20" s="75" customFormat="1" customHeight="1" spans="1:19">
      <c r="A20" s="77"/>
      <c r="B20" s="92"/>
      <c r="C20" s="92"/>
      <c r="D20" s="92"/>
      <c r="E20" s="92"/>
      <c r="F20" s="92"/>
      <c r="G20" s="92"/>
      <c r="H20" s="92"/>
      <c r="I20" s="92"/>
      <c r="J20" s="92"/>
      <c r="K20" s="92"/>
      <c r="L20" s="92"/>
      <c r="M20" s="92"/>
      <c r="N20" s="92"/>
      <c r="O20" s="92"/>
      <c r="P20" s="92"/>
      <c r="Q20" s="92"/>
      <c r="R20" s="92"/>
      <c r="S20" s="77"/>
    </row>
    <row r="21" s="75" customFormat="1" customHeight="1" spans="1:19">
      <c r="A21" s="77"/>
      <c r="B21" s="92"/>
      <c r="C21" s="92"/>
      <c r="D21" s="92"/>
      <c r="E21" s="92"/>
      <c r="F21" s="92"/>
      <c r="G21" s="92"/>
      <c r="H21" s="92"/>
      <c r="I21" s="92"/>
      <c r="J21" s="92"/>
      <c r="K21" s="92"/>
      <c r="L21" s="92"/>
      <c r="M21" s="92"/>
      <c r="N21" s="92"/>
      <c r="O21" s="92"/>
      <c r="P21" s="92"/>
      <c r="Q21" s="92"/>
      <c r="R21" s="92"/>
      <c r="S21" s="77"/>
    </row>
    <row r="22" s="75" customFormat="1" customHeight="1" spans="1:19">
      <c r="A22" s="77"/>
      <c r="B22" s="78"/>
      <c r="C22" s="79"/>
      <c r="D22" s="79"/>
      <c r="E22" s="79"/>
      <c r="F22" s="79"/>
      <c r="G22" s="79"/>
      <c r="H22" s="79"/>
      <c r="I22" s="79"/>
      <c r="J22" s="79"/>
      <c r="K22" s="79"/>
      <c r="L22" s="79"/>
      <c r="M22" s="79"/>
      <c r="N22" s="79"/>
      <c r="O22" s="79"/>
      <c r="P22" s="79"/>
      <c r="Q22" s="79"/>
      <c r="R22" s="80"/>
      <c r="S22" s="77"/>
    </row>
    <row r="23" s="75" customFormat="1" customHeight="1" spans="1:19">
      <c r="A23" s="77"/>
      <c r="B23" s="95" t="s">
        <v>192</v>
      </c>
      <c r="C23" s="96"/>
      <c r="D23" s="96"/>
      <c r="E23" s="96"/>
      <c r="F23" s="96"/>
      <c r="G23" s="96"/>
      <c r="H23" s="96"/>
      <c r="I23" s="96"/>
      <c r="J23" s="96"/>
      <c r="K23" s="96"/>
      <c r="L23" s="96"/>
      <c r="M23" s="96"/>
      <c r="N23" s="96"/>
      <c r="O23" s="96"/>
      <c r="P23" s="96"/>
      <c r="Q23" s="96"/>
      <c r="R23" s="97"/>
      <c r="S23" s="77"/>
    </row>
    <row r="24" s="75" customFormat="1" customHeight="1" spans="1:19">
      <c r="A24" s="77"/>
      <c r="B24" s="98" t="s">
        <v>109</v>
      </c>
      <c r="C24" s="99"/>
      <c r="D24" s="99"/>
      <c r="E24" s="100"/>
      <c r="F24" s="101" t="s">
        <v>178</v>
      </c>
      <c r="G24" s="101"/>
      <c r="H24" s="102" t="s">
        <v>187</v>
      </c>
      <c r="I24" s="102" t="s">
        <v>188</v>
      </c>
      <c r="J24" s="101" t="s">
        <v>179</v>
      </c>
      <c r="K24" s="101"/>
      <c r="L24" s="102" t="s">
        <v>180</v>
      </c>
      <c r="M24" s="102" t="s">
        <v>193</v>
      </c>
      <c r="N24" s="102" t="s">
        <v>191</v>
      </c>
      <c r="O24" s="103" t="s">
        <v>181</v>
      </c>
      <c r="P24" s="104"/>
      <c r="Q24" s="102" t="s">
        <v>182</v>
      </c>
      <c r="R24" s="102" t="s">
        <v>36</v>
      </c>
      <c r="S24" s="77"/>
    </row>
    <row r="25" s="75" customFormat="1" customHeight="1" spans="1:19">
      <c r="A25" s="77"/>
      <c r="B25" s="87"/>
      <c r="C25" s="87"/>
      <c r="D25" s="87"/>
      <c r="E25" s="87"/>
      <c r="F25" s="87"/>
      <c r="G25" s="87"/>
      <c r="H25" s="87"/>
      <c r="I25" s="87"/>
      <c r="J25" s="88"/>
      <c r="K25" s="90"/>
      <c r="L25" s="87"/>
      <c r="M25" s="87"/>
      <c r="N25" s="87"/>
      <c r="O25" s="87"/>
      <c r="P25" s="87"/>
      <c r="Q25" s="87"/>
      <c r="R25" s="87"/>
      <c r="S25" s="77"/>
    </row>
    <row r="26" s="75" customFormat="1" customHeight="1" spans="1:19">
      <c r="A26" s="77"/>
      <c r="B26" s="87"/>
      <c r="C26" s="87"/>
      <c r="D26" s="87"/>
      <c r="E26" s="87"/>
      <c r="F26" s="87"/>
      <c r="G26" s="87"/>
      <c r="H26" s="87"/>
      <c r="I26" s="87"/>
      <c r="J26" s="88"/>
      <c r="K26" s="90"/>
      <c r="L26" s="87"/>
      <c r="M26" s="87"/>
      <c r="N26" s="87"/>
      <c r="O26" s="87"/>
      <c r="P26" s="87"/>
      <c r="Q26" s="87"/>
      <c r="R26" s="87"/>
      <c r="S26" s="77"/>
    </row>
    <row r="27" s="75" customFormat="1" customHeight="1" spans="1:19">
      <c r="A27" s="77"/>
      <c r="B27" s="87"/>
      <c r="C27" s="87"/>
      <c r="D27" s="87"/>
      <c r="E27" s="87"/>
      <c r="F27" s="87"/>
      <c r="G27" s="87"/>
      <c r="H27" s="105"/>
      <c r="I27" s="87"/>
      <c r="J27" s="88"/>
      <c r="K27" s="90"/>
      <c r="L27" s="87"/>
      <c r="M27" s="87"/>
      <c r="N27" s="87"/>
      <c r="O27" s="87"/>
      <c r="P27" s="87"/>
      <c r="Q27" s="87"/>
      <c r="R27" s="87"/>
      <c r="S27" s="77"/>
    </row>
    <row r="28" s="75" customFormat="1" customHeight="1" spans="1:19">
      <c r="A28" s="77"/>
      <c r="B28" s="87"/>
      <c r="C28" s="87"/>
      <c r="D28" s="87"/>
      <c r="E28" s="87"/>
      <c r="F28" s="87"/>
      <c r="G28" s="87"/>
      <c r="H28" s="87"/>
      <c r="I28" s="87"/>
      <c r="J28" s="88"/>
      <c r="K28" s="90"/>
      <c r="L28" s="87"/>
      <c r="M28" s="87"/>
      <c r="N28" s="87"/>
      <c r="O28" s="87"/>
      <c r="P28" s="87"/>
      <c r="Q28" s="87"/>
      <c r="R28" s="87"/>
      <c r="S28" s="77"/>
    </row>
    <row r="29" s="75" customFormat="1" customHeight="1" spans="1:19">
      <c r="A29" s="77"/>
      <c r="B29" s="87"/>
      <c r="C29" s="87"/>
      <c r="D29" s="87"/>
      <c r="E29" s="87"/>
      <c r="F29" s="87"/>
      <c r="G29" s="87"/>
      <c r="H29" s="87"/>
      <c r="I29" s="87"/>
      <c r="J29" s="88"/>
      <c r="K29" s="90"/>
      <c r="L29" s="87"/>
      <c r="M29" s="87"/>
      <c r="N29" s="87"/>
      <c r="O29" s="87"/>
      <c r="P29" s="87"/>
      <c r="Q29" s="87"/>
      <c r="R29" s="87"/>
      <c r="S29" s="77"/>
    </row>
    <row r="30" s="75" customFormat="1" customHeight="1" spans="1:19">
      <c r="A30" s="106"/>
      <c r="B30" s="106"/>
      <c r="C30" s="106"/>
      <c r="D30" s="106"/>
      <c r="E30" s="106"/>
      <c r="F30" s="106"/>
      <c r="G30" s="106"/>
      <c r="H30" s="106"/>
      <c r="I30" s="106"/>
      <c r="J30" s="106"/>
      <c r="K30" s="106"/>
      <c r="L30" s="106"/>
      <c r="M30" s="106"/>
      <c r="N30" s="106"/>
      <c r="O30" s="106"/>
      <c r="P30" s="106"/>
      <c r="Q30" s="78">
        <f>SUM(R25:R29)</f>
        <v>0</v>
      </c>
      <c r="R30" s="80"/>
      <c r="S30" s="77"/>
    </row>
    <row r="31" s="75" customFormat="1" customHeight="1" spans="1:19">
      <c r="A31" s="77"/>
      <c r="B31" s="95" t="s">
        <v>194</v>
      </c>
      <c r="C31" s="96"/>
      <c r="D31" s="96"/>
      <c r="E31" s="96"/>
      <c r="F31" s="96"/>
      <c r="G31" s="96"/>
      <c r="H31" s="96"/>
      <c r="I31" s="96"/>
      <c r="J31" s="96"/>
      <c r="K31" s="96"/>
      <c r="L31" s="96"/>
      <c r="M31" s="96"/>
      <c r="N31" s="96"/>
      <c r="O31" s="96"/>
      <c r="P31" s="96"/>
      <c r="Q31" s="96"/>
      <c r="R31" s="97"/>
      <c r="S31" s="77"/>
    </row>
    <row r="32" s="75" customFormat="1" customHeight="1" spans="1:19">
      <c r="A32" s="77"/>
      <c r="B32" s="98" t="s">
        <v>109</v>
      </c>
      <c r="C32" s="99"/>
      <c r="D32" s="99"/>
      <c r="E32" s="100"/>
      <c r="F32" s="101" t="s">
        <v>178</v>
      </c>
      <c r="G32" s="101"/>
      <c r="H32" s="102" t="s">
        <v>113</v>
      </c>
      <c r="I32" s="102" t="s">
        <v>195</v>
      </c>
      <c r="J32" s="102"/>
      <c r="K32" s="102"/>
      <c r="L32" s="102"/>
      <c r="M32" s="102"/>
      <c r="N32" s="102"/>
      <c r="O32" s="102"/>
      <c r="P32" s="102"/>
      <c r="Q32" s="102" t="s">
        <v>182</v>
      </c>
      <c r="R32" s="102" t="s">
        <v>36</v>
      </c>
      <c r="S32" s="77"/>
    </row>
    <row r="33" s="75" customFormat="1" customHeight="1" spans="1:19">
      <c r="A33" s="77"/>
      <c r="B33" s="87"/>
      <c r="C33" s="87"/>
      <c r="D33" s="87"/>
      <c r="E33" s="87"/>
      <c r="F33" s="87"/>
      <c r="G33" s="87"/>
      <c r="H33" s="87"/>
      <c r="I33" s="87"/>
      <c r="J33" s="87"/>
      <c r="K33" s="87"/>
      <c r="L33" s="87"/>
      <c r="M33" s="87"/>
      <c r="N33" s="87"/>
      <c r="O33" s="87"/>
      <c r="P33" s="87"/>
      <c r="Q33" s="87"/>
      <c r="R33" s="87"/>
      <c r="S33" s="77"/>
    </row>
    <row r="34" s="75" customFormat="1" customHeight="1" spans="1:19">
      <c r="A34" s="77"/>
      <c r="B34" s="87"/>
      <c r="C34" s="87"/>
      <c r="D34" s="87"/>
      <c r="E34" s="87"/>
      <c r="F34" s="87"/>
      <c r="G34" s="87"/>
      <c r="H34" s="87"/>
      <c r="I34" s="87"/>
      <c r="J34" s="87"/>
      <c r="K34" s="87"/>
      <c r="L34" s="87"/>
      <c r="M34" s="87"/>
      <c r="N34" s="87"/>
      <c r="O34" s="87"/>
      <c r="P34" s="87"/>
      <c r="Q34" s="87"/>
      <c r="R34" s="87"/>
      <c r="S34" s="77"/>
    </row>
    <row r="35" s="75" customFormat="1" customHeight="1" spans="1:19">
      <c r="A35" s="106"/>
      <c r="B35" s="106"/>
      <c r="C35" s="106"/>
      <c r="D35" s="106"/>
      <c r="E35" s="106"/>
      <c r="F35" s="106"/>
      <c r="G35" s="106"/>
      <c r="H35" s="106"/>
      <c r="I35" s="106"/>
      <c r="J35" s="106"/>
      <c r="K35" s="106"/>
      <c r="L35" s="106"/>
      <c r="M35" s="106"/>
      <c r="N35" s="106"/>
      <c r="O35" s="106"/>
      <c r="P35" s="106"/>
      <c r="Q35" s="78">
        <f>SUM(R33:R34)</f>
        <v>0</v>
      </c>
      <c r="R35" s="80"/>
      <c r="S35" s="77"/>
    </row>
    <row r="36" s="75" customFormat="1" customHeight="1" spans="1:19">
      <c r="A36" s="77"/>
      <c r="B36" s="95" t="s">
        <v>196</v>
      </c>
      <c r="C36" s="96"/>
      <c r="D36" s="96"/>
      <c r="E36" s="96"/>
      <c r="F36" s="96"/>
      <c r="G36" s="96"/>
      <c r="H36" s="96"/>
      <c r="I36" s="96"/>
      <c r="J36" s="96"/>
      <c r="K36" s="96"/>
      <c r="L36" s="96"/>
      <c r="M36" s="96"/>
      <c r="N36" s="96"/>
      <c r="O36" s="96"/>
      <c r="P36" s="96"/>
      <c r="Q36" s="96"/>
      <c r="R36" s="97"/>
      <c r="S36" s="77"/>
    </row>
    <row r="37" s="75" customFormat="1" customHeight="1" spans="1:19">
      <c r="A37" s="77"/>
      <c r="B37" s="98" t="s">
        <v>109</v>
      </c>
      <c r="C37" s="99"/>
      <c r="D37" s="99"/>
      <c r="E37" s="100"/>
      <c r="F37" s="102" t="s">
        <v>195</v>
      </c>
      <c r="G37" s="102"/>
      <c r="H37" s="102"/>
      <c r="I37" s="102"/>
      <c r="J37" s="102"/>
      <c r="K37" s="102"/>
      <c r="L37" s="102"/>
      <c r="M37" s="102"/>
      <c r="N37" s="102"/>
      <c r="O37" s="102"/>
      <c r="P37" s="102"/>
      <c r="Q37" s="102" t="s">
        <v>182</v>
      </c>
      <c r="R37" s="102" t="s">
        <v>36</v>
      </c>
      <c r="S37" s="77"/>
    </row>
    <row r="38" s="75" customFormat="1" customHeight="1" spans="1:19">
      <c r="A38" s="77"/>
      <c r="B38" s="87"/>
      <c r="C38" s="87"/>
      <c r="D38" s="87"/>
      <c r="E38" s="87"/>
      <c r="F38" s="87"/>
      <c r="G38" s="87"/>
      <c r="H38" s="87"/>
      <c r="I38" s="87"/>
      <c r="J38" s="87"/>
      <c r="K38" s="87"/>
      <c r="L38" s="87"/>
      <c r="M38" s="87"/>
      <c r="N38" s="87"/>
      <c r="O38" s="87"/>
      <c r="P38" s="87"/>
      <c r="Q38" s="87"/>
      <c r="R38" s="87"/>
      <c r="S38" s="77"/>
    </row>
    <row r="39" s="75" customFormat="1" customHeight="1" spans="1:19">
      <c r="A39" s="77"/>
      <c r="B39" s="87"/>
      <c r="C39" s="87"/>
      <c r="D39" s="87"/>
      <c r="E39" s="87"/>
      <c r="F39" s="87"/>
      <c r="G39" s="87"/>
      <c r="H39" s="87"/>
      <c r="I39" s="87"/>
      <c r="J39" s="87"/>
      <c r="K39" s="87"/>
      <c r="L39" s="87"/>
      <c r="M39" s="87"/>
      <c r="N39" s="87"/>
      <c r="O39" s="87"/>
      <c r="P39" s="87"/>
      <c r="Q39" s="87"/>
      <c r="R39" s="87"/>
      <c r="S39" s="77"/>
    </row>
    <row r="40" s="75" customFormat="1" customHeight="1" spans="1:19">
      <c r="A40" s="77"/>
      <c r="B40" s="87"/>
      <c r="C40" s="87"/>
      <c r="D40" s="87"/>
      <c r="E40" s="87"/>
      <c r="F40" s="87"/>
      <c r="G40" s="87"/>
      <c r="H40" s="87"/>
      <c r="I40" s="87"/>
      <c r="J40" s="87"/>
      <c r="K40" s="87"/>
      <c r="L40" s="87"/>
      <c r="M40" s="87"/>
      <c r="N40" s="87"/>
      <c r="O40" s="87"/>
      <c r="P40" s="87"/>
      <c r="Q40" s="87"/>
      <c r="R40" s="87"/>
      <c r="S40" s="77"/>
    </row>
    <row r="41" s="75" customFormat="1" customHeight="1" spans="1:19">
      <c r="A41" s="77"/>
      <c r="B41" s="87"/>
      <c r="C41" s="87"/>
      <c r="D41" s="87"/>
      <c r="E41" s="87"/>
      <c r="F41" s="87"/>
      <c r="G41" s="87"/>
      <c r="H41" s="87"/>
      <c r="I41" s="87"/>
      <c r="J41" s="87"/>
      <c r="K41" s="87"/>
      <c r="L41" s="87"/>
      <c r="M41" s="87"/>
      <c r="N41" s="87"/>
      <c r="O41" s="87"/>
      <c r="P41" s="87"/>
      <c r="Q41" s="87"/>
      <c r="R41" s="87"/>
      <c r="S41" s="77"/>
    </row>
    <row r="42" s="75" customFormat="1" customHeight="1" spans="1:19">
      <c r="A42" s="77"/>
      <c r="B42" s="87"/>
      <c r="C42" s="87"/>
      <c r="D42" s="87"/>
      <c r="E42" s="87"/>
      <c r="F42" s="87"/>
      <c r="G42" s="87"/>
      <c r="H42" s="87"/>
      <c r="I42" s="87"/>
      <c r="J42" s="87"/>
      <c r="K42" s="87"/>
      <c r="L42" s="87"/>
      <c r="M42" s="87"/>
      <c r="N42" s="87"/>
      <c r="O42" s="87"/>
      <c r="P42" s="87"/>
      <c r="Q42" s="87"/>
      <c r="R42" s="87"/>
      <c r="S42" s="77"/>
    </row>
    <row r="43" s="75" customFormat="1" customHeight="1" spans="1:19">
      <c r="A43" s="77"/>
      <c r="B43" s="87"/>
      <c r="C43" s="87"/>
      <c r="D43" s="87"/>
      <c r="E43" s="87"/>
      <c r="F43" s="87"/>
      <c r="G43" s="87"/>
      <c r="H43" s="87"/>
      <c r="I43" s="87"/>
      <c r="J43" s="87"/>
      <c r="K43" s="87"/>
      <c r="L43" s="87"/>
      <c r="M43" s="87"/>
      <c r="N43" s="87"/>
      <c r="O43" s="87"/>
      <c r="P43" s="87"/>
      <c r="Q43" s="87"/>
      <c r="R43" s="87"/>
      <c r="S43" s="77"/>
    </row>
    <row r="44" s="75" customFormat="1" customHeight="1" spans="1:19">
      <c r="A44" s="77"/>
      <c r="B44" s="87"/>
      <c r="C44" s="87"/>
      <c r="D44" s="87"/>
      <c r="E44" s="87"/>
      <c r="F44" s="87"/>
      <c r="G44" s="87"/>
      <c r="H44" s="87"/>
      <c r="I44" s="87"/>
      <c r="J44" s="87"/>
      <c r="K44" s="87"/>
      <c r="L44" s="87"/>
      <c r="M44" s="87"/>
      <c r="N44" s="87"/>
      <c r="O44" s="87"/>
      <c r="P44" s="87"/>
      <c r="Q44" s="87"/>
      <c r="R44" s="87"/>
      <c r="S44" s="77"/>
    </row>
    <row r="45" s="75" customFormat="1" customHeight="1" spans="1:19">
      <c r="A45" s="77"/>
      <c r="B45" s="87"/>
      <c r="C45" s="87"/>
      <c r="D45" s="87"/>
      <c r="E45" s="87"/>
      <c r="F45" s="87"/>
      <c r="G45" s="87"/>
      <c r="H45" s="87"/>
      <c r="I45" s="87"/>
      <c r="J45" s="87"/>
      <c r="K45" s="87"/>
      <c r="L45" s="87"/>
      <c r="M45" s="87"/>
      <c r="N45" s="87"/>
      <c r="O45" s="87"/>
      <c r="P45" s="87"/>
      <c r="Q45" s="87"/>
      <c r="R45" s="87"/>
      <c r="S45" s="77"/>
    </row>
    <row r="46" s="75" customFormat="1" customHeight="1" spans="1:19">
      <c r="A46" s="77"/>
      <c r="B46" s="87"/>
      <c r="C46" s="87"/>
      <c r="D46" s="87"/>
      <c r="E46" s="87"/>
      <c r="F46" s="87"/>
      <c r="G46" s="87"/>
      <c r="H46" s="87"/>
      <c r="I46" s="87"/>
      <c r="J46" s="87"/>
      <c r="K46" s="87"/>
      <c r="L46" s="87"/>
      <c r="M46" s="87"/>
      <c r="N46" s="87"/>
      <c r="O46" s="87"/>
      <c r="P46" s="87"/>
      <c r="Q46" s="87"/>
      <c r="R46" s="87"/>
      <c r="S46" s="77"/>
    </row>
    <row r="47" s="75" customFormat="1" customHeight="1" spans="1:19">
      <c r="A47" s="77"/>
      <c r="B47" s="87"/>
      <c r="C47" s="87"/>
      <c r="D47" s="87"/>
      <c r="E47" s="87"/>
      <c r="F47" s="87"/>
      <c r="G47" s="87"/>
      <c r="H47" s="87"/>
      <c r="I47" s="87"/>
      <c r="J47" s="87"/>
      <c r="K47" s="87"/>
      <c r="L47" s="87"/>
      <c r="M47" s="87"/>
      <c r="N47" s="87"/>
      <c r="O47" s="87"/>
      <c r="P47" s="87"/>
      <c r="Q47" s="87"/>
      <c r="R47" s="87"/>
      <c r="S47" s="77"/>
    </row>
    <row r="48" s="75" customFormat="1" customHeight="1" spans="1:19">
      <c r="A48" s="77"/>
      <c r="B48" s="87"/>
      <c r="C48" s="87"/>
      <c r="D48" s="87"/>
      <c r="E48" s="87"/>
      <c r="F48" s="87"/>
      <c r="G48" s="87"/>
      <c r="H48" s="87"/>
      <c r="I48" s="87"/>
      <c r="J48" s="87"/>
      <c r="K48" s="87"/>
      <c r="L48" s="87"/>
      <c r="M48" s="87"/>
      <c r="N48" s="87"/>
      <c r="O48" s="87"/>
      <c r="P48" s="87"/>
      <c r="Q48" s="87"/>
      <c r="R48" s="87"/>
      <c r="S48" s="77"/>
    </row>
    <row r="49" s="75" customFormat="1" customHeight="1" spans="1:19">
      <c r="A49" s="77"/>
      <c r="B49" s="87"/>
      <c r="C49" s="87"/>
      <c r="D49" s="87"/>
      <c r="E49" s="87"/>
      <c r="F49" s="87"/>
      <c r="G49" s="87"/>
      <c r="H49" s="87"/>
      <c r="I49" s="87"/>
      <c r="J49" s="87"/>
      <c r="K49" s="87"/>
      <c r="L49" s="87"/>
      <c r="M49" s="87"/>
      <c r="N49" s="87"/>
      <c r="O49" s="87"/>
      <c r="P49" s="87"/>
      <c r="Q49" s="87"/>
      <c r="R49" s="87"/>
      <c r="S49" s="77"/>
    </row>
    <row r="50" s="75" customFormat="1" customHeight="1" spans="1:19">
      <c r="A50" s="106"/>
      <c r="B50" s="106"/>
      <c r="C50" s="106"/>
      <c r="D50" s="106"/>
      <c r="E50" s="106"/>
      <c r="F50" s="106"/>
      <c r="G50" s="106"/>
      <c r="H50" s="106"/>
      <c r="I50" s="106"/>
      <c r="J50" s="106"/>
      <c r="K50" s="106"/>
      <c r="L50" s="106"/>
      <c r="M50" s="106"/>
      <c r="N50" s="106"/>
      <c r="O50" s="106"/>
      <c r="P50" s="106"/>
      <c r="Q50" s="78">
        <f>SUM(R38:R49)</f>
        <v>0</v>
      </c>
      <c r="R50" s="80"/>
      <c r="S50" s="77"/>
    </row>
    <row r="51" s="75" customFormat="1" customHeight="1" spans="1:19">
      <c r="A51" s="106"/>
      <c r="B51" s="95" t="s">
        <v>197</v>
      </c>
      <c r="C51" s="96"/>
      <c r="D51" s="96"/>
      <c r="E51" s="96"/>
      <c r="F51" s="96"/>
      <c r="G51" s="96"/>
      <c r="H51" s="96"/>
      <c r="I51" s="96"/>
      <c r="J51" s="96"/>
      <c r="K51" s="96"/>
      <c r="L51" s="96"/>
      <c r="M51" s="96"/>
      <c r="N51" s="96"/>
      <c r="O51" s="96"/>
      <c r="P51" s="96"/>
      <c r="Q51" s="96"/>
      <c r="R51" s="97"/>
      <c r="S51" s="106"/>
    </row>
    <row r="52" s="75" customFormat="1" customHeight="1" spans="1:19">
      <c r="A52" s="106"/>
      <c r="B52" s="98" t="s">
        <v>109</v>
      </c>
      <c r="C52" s="99"/>
      <c r="D52" s="99"/>
      <c r="E52" s="100"/>
      <c r="F52" s="103" t="s">
        <v>169</v>
      </c>
      <c r="G52" s="107"/>
      <c r="H52" s="107"/>
      <c r="I52" s="107"/>
      <c r="J52" s="107"/>
      <c r="K52" s="107"/>
      <c r="L52" s="107"/>
      <c r="M52" s="107"/>
      <c r="N52" s="104"/>
      <c r="O52" s="102" t="s">
        <v>198</v>
      </c>
      <c r="P52" s="102" t="s">
        <v>199</v>
      </c>
      <c r="Q52" s="102" t="s">
        <v>182</v>
      </c>
      <c r="R52" s="102" t="s">
        <v>36</v>
      </c>
      <c r="S52" s="106"/>
    </row>
    <row r="53" s="75" customFormat="1" customHeight="1" spans="1:19">
      <c r="A53" s="106"/>
      <c r="B53" s="108" t="s">
        <v>200</v>
      </c>
      <c r="C53" s="87"/>
      <c r="D53" s="87"/>
      <c r="E53" s="87"/>
      <c r="F53" s="92"/>
      <c r="G53" s="87"/>
      <c r="H53" s="87"/>
      <c r="I53" s="87"/>
      <c r="J53" s="87"/>
      <c r="K53" s="87"/>
      <c r="L53" s="87"/>
      <c r="M53" s="87"/>
      <c r="N53" s="87"/>
      <c r="O53" s="109"/>
      <c r="P53" s="109"/>
      <c r="Q53" s="109" t="str">
        <f t="shared" ref="Q53:Q67" si="0">IF(OR(ISBLANK(P53),ISBLANK(O53)),"",P53*O53)</f>
        <v/>
      </c>
      <c r="R53" s="87"/>
      <c r="S53" s="106"/>
    </row>
    <row r="54" s="75" customFormat="1" customHeight="1" spans="1:19">
      <c r="A54" s="106"/>
      <c r="B54" s="110"/>
      <c r="C54" s="87"/>
      <c r="D54" s="87"/>
      <c r="E54" s="87"/>
      <c r="F54" s="92"/>
      <c r="G54" s="87"/>
      <c r="H54" s="87"/>
      <c r="I54" s="87"/>
      <c r="J54" s="87"/>
      <c r="K54" s="87"/>
      <c r="L54" s="87"/>
      <c r="M54" s="87"/>
      <c r="N54" s="87"/>
      <c r="O54" s="109"/>
      <c r="P54" s="109"/>
      <c r="Q54" s="109" t="str">
        <f t="shared" si="0"/>
        <v/>
      </c>
      <c r="R54" s="87"/>
      <c r="S54" s="106"/>
    </row>
    <row r="55" s="75" customFormat="1" customHeight="1" spans="1:19">
      <c r="A55" s="106"/>
      <c r="B55" s="110"/>
      <c r="C55" s="87"/>
      <c r="D55" s="87"/>
      <c r="E55" s="87"/>
      <c r="F55" s="92"/>
      <c r="G55" s="87"/>
      <c r="H55" s="87"/>
      <c r="I55" s="87"/>
      <c r="J55" s="87"/>
      <c r="K55" s="87"/>
      <c r="L55" s="87"/>
      <c r="M55" s="87"/>
      <c r="N55" s="87"/>
      <c r="O55" s="109"/>
      <c r="P55" s="109"/>
      <c r="Q55" s="109" t="str">
        <f t="shared" si="0"/>
        <v/>
      </c>
      <c r="R55" s="87"/>
      <c r="S55" s="106"/>
    </row>
    <row r="56" s="75" customFormat="1" customHeight="1" spans="1:19">
      <c r="A56" s="106"/>
      <c r="B56" s="110"/>
      <c r="C56" s="87"/>
      <c r="D56" s="87"/>
      <c r="E56" s="87"/>
      <c r="F56" s="92"/>
      <c r="G56" s="87"/>
      <c r="H56" s="87"/>
      <c r="I56" s="87"/>
      <c r="J56" s="87"/>
      <c r="K56" s="87"/>
      <c r="L56" s="87"/>
      <c r="M56" s="87"/>
      <c r="N56" s="87"/>
      <c r="O56" s="109"/>
      <c r="P56" s="109"/>
      <c r="Q56" s="109" t="str">
        <f t="shared" si="0"/>
        <v/>
      </c>
      <c r="R56" s="87"/>
      <c r="S56" s="106"/>
    </row>
    <row r="57" s="75" customFormat="1" customHeight="1" spans="1:19">
      <c r="A57" s="106"/>
      <c r="B57" s="110"/>
      <c r="C57" s="87"/>
      <c r="D57" s="87"/>
      <c r="E57" s="87"/>
      <c r="F57" s="92"/>
      <c r="G57" s="87"/>
      <c r="H57" s="87"/>
      <c r="I57" s="87"/>
      <c r="J57" s="87"/>
      <c r="K57" s="87"/>
      <c r="L57" s="87"/>
      <c r="M57" s="87"/>
      <c r="N57" s="87"/>
      <c r="O57" s="109"/>
      <c r="P57" s="109"/>
      <c r="Q57" s="109" t="str">
        <f t="shared" si="0"/>
        <v/>
      </c>
      <c r="R57" s="87"/>
      <c r="S57" s="106"/>
    </row>
    <row r="58" s="75" customFormat="1" customHeight="1" spans="1:19">
      <c r="A58" s="106"/>
      <c r="B58" s="110"/>
      <c r="C58" s="87"/>
      <c r="D58" s="87"/>
      <c r="E58" s="87"/>
      <c r="F58" s="92"/>
      <c r="G58" s="87"/>
      <c r="H58" s="87"/>
      <c r="I58" s="87"/>
      <c r="J58" s="87"/>
      <c r="K58" s="87"/>
      <c r="L58" s="87"/>
      <c r="M58" s="87"/>
      <c r="N58" s="87"/>
      <c r="O58" s="109"/>
      <c r="P58" s="109"/>
      <c r="Q58" s="109" t="str">
        <f t="shared" si="0"/>
        <v/>
      </c>
      <c r="R58" s="87"/>
      <c r="S58" s="106"/>
    </row>
    <row r="59" s="75" customFormat="1" customHeight="1" spans="1:19">
      <c r="A59" s="106"/>
      <c r="B59" s="110"/>
      <c r="C59" s="87"/>
      <c r="D59" s="87"/>
      <c r="E59" s="87"/>
      <c r="F59" s="87"/>
      <c r="G59" s="87"/>
      <c r="H59" s="87"/>
      <c r="I59" s="87"/>
      <c r="J59" s="87"/>
      <c r="K59" s="87"/>
      <c r="L59" s="87"/>
      <c r="M59" s="87"/>
      <c r="N59" s="87"/>
      <c r="O59" s="109"/>
      <c r="P59" s="109"/>
      <c r="Q59" s="109" t="str">
        <f t="shared" si="0"/>
        <v/>
      </c>
      <c r="R59" s="87"/>
      <c r="S59" s="106"/>
    </row>
    <row r="60" s="75" customFormat="1" customHeight="1" spans="1:19">
      <c r="A60" s="106"/>
      <c r="B60" s="110"/>
      <c r="C60" s="87"/>
      <c r="D60" s="87"/>
      <c r="E60" s="87"/>
      <c r="F60" s="92"/>
      <c r="G60" s="87"/>
      <c r="H60" s="87"/>
      <c r="I60" s="87"/>
      <c r="J60" s="87"/>
      <c r="K60" s="87"/>
      <c r="L60" s="87"/>
      <c r="M60" s="87"/>
      <c r="N60" s="87"/>
      <c r="O60" s="109"/>
      <c r="P60" s="109"/>
      <c r="Q60" s="109" t="str">
        <f t="shared" si="0"/>
        <v/>
      </c>
      <c r="R60" s="87"/>
      <c r="S60" s="106"/>
    </row>
    <row r="61" s="75" customFormat="1" customHeight="1" spans="1:19">
      <c r="A61" s="106"/>
      <c r="B61" s="110"/>
      <c r="C61" s="87"/>
      <c r="D61" s="87"/>
      <c r="E61" s="87"/>
      <c r="F61" s="87"/>
      <c r="G61" s="87"/>
      <c r="H61" s="87"/>
      <c r="I61" s="87"/>
      <c r="J61" s="87"/>
      <c r="K61" s="87"/>
      <c r="L61" s="87"/>
      <c r="M61" s="87"/>
      <c r="N61" s="87"/>
      <c r="O61" s="109"/>
      <c r="P61" s="109"/>
      <c r="Q61" s="109" t="str">
        <f t="shared" si="0"/>
        <v/>
      </c>
      <c r="R61" s="87"/>
      <c r="S61" s="106"/>
    </row>
    <row r="62" s="75" customFormat="1" customHeight="1" spans="1:19">
      <c r="A62" s="106"/>
      <c r="B62" s="110"/>
      <c r="C62" s="87"/>
      <c r="D62" s="87"/>
      <c r="E62" s="87"/>
      <c r="F62" s="87"/>
      <c r="G62" s="87"/>
      <c r="H62" s="87"/>
      <c r="I62" s="87"/>
      <c r="J62" s="87"/>
      <c r="K62" s="87"/>
      <c r="L62" s="87"/>
      <c r="M62" s="87"/>
      <c r="N62" s="87"/>
      <c r="O62" s="109"/>
      <c r="P62" s="109"/>
      <c r="Q62" s="109" t="str">
        <f t="shared" si="0"/>
        <v/>
      </c>
      <c r="R62" s="87"/>
      <c r="S62" s="106"/>
    </row>
    <row r="63" s="75" customFormat="1" customHeight="1" spans="1:19">
      <c r="A63" s="106"/>
      <c r="B63" s="110"/>
      <c r="C63" s="87"/>
      <c r="D63" s="87"/>
      <c r="E63" s="87"/>
      <c r="F63" s="87"/>
      <c r="G63" s="87"/>
      <c r="H63" s="87"/>
      <c r="I63" s="87"/>
      <c r="J63" s="87"/>
      <c r="K63" s="87"/>
      <c r="L63" s="87"/>
      <c r="M63" s="87"/>
      <c r="N63" s="87"/>
      <c r="O63" s="109"/>
      <c r="P63" s="109"/>
      <c r="Q63" s="109" t="str">
        <f t="shared" si="0"/>
        <v/>
      </c>
      <c r="R63" s="87"/>
      <c r="S63" s="106"/>
    </row>
    <row r="64" s="75" customFormat="1" customHeight="1" spans="1:19">
      <c r="A64" s="106"/>
      <c r="B64" s="110"/>
      <c r="C64" s="87"/>
      <c r="D64" s="87"/>
      <c r="E64" s="87"/>
      <c r="F64" s="87"/>
      <c r="G64" s="87"/>
      <c r="H64" s="87"/>
      <c r="I64" s="87"/>
      <c r="J64" s="87"/>
      <c r="K64" s="87"/>
      <c r="L64" s="87"/>
      <c r="M64" s="87"/>
      <c r="N64" s="87"/>
      <c r="O64" s="109"/>
      <c r="P64" s="109"/>
      <c r="Q64" s="109" t="str">
        <f t="shared" si="0"/>
        <v/>
      </c>
      <c r="R64" s="87"/>
      <c r="S64" s="106"/>
    </row>
    <row r="65" s="75" customFormat="1" customHeight="1" spans="1:19">
      <c r="A65" s="106"/>
      <c r="B65" s="110"/>
      <c r="C65" s="87"/>
      <c r="D65" s="87"/>
      <c r="E65" s="87"/>
      <c r="F65" s="87"/>
      <c r="G65" s="87"/>
      <c r="H65" s="87"/>
      <c r="I65" s="87"/>
      <c r="J65" s="87"/>
      <c r="K65" s="87"/>
      <c r="L65" s="87"/>
      <c r="M65" s="87"/>
      <c r="N65" s="87"/>
      <c r="O65" s="109"/>
      <c r="P65" s="109"/>
      <c r="Q65" s="109" t="str">
        <f t="shared" si="0"/>
        <v/>
      </c>
      <c r="R65" s="87"/>
      <c r="S65" s="106"/>
    </row>
    <row r="66" s="75" customFormat="1" customHeight="1" spans="1:19">
      <c r="A66" s="106"/>
      <c r="B66" s="110"/>
      <c r="C66" s="87"/>
      <c r="D66" s="87"/>
      <c r="E66" s="87"/>
      <c r="F66" s="87"/>
      <c r="G66" s="87"/>
      <c r="H66" s="87"/>
      <c r="I66" s="87"/>
      <c r="J66" s="87"/>
      <c r="K66" s="87"/>
      <c r="L66" s="87"/>
      <c r="M66" s="87"/>
      <c r="N66" s="87"/>
      <c r="O66" s="109"/>
      <c r="P66" s="109"/>
      <c r="Q66" s="109" t="str">
        <f t="shared" si="0"/>
        <v/>
      </c>
      <c r="R66" s="87"/>
      <c r="S66" s="106"/>
    </row>
    <row r="67" s="75" customFormat="1" customHeight="1" spans="1:19">
      <c r="A67" s="106"/>
      <c r="B67" s="110"/>
      <c r="C67" s="87"/>
      <c r="D67" s="87"/>
      <c r="E67" s="87"/>
      <c r="F67" s="87"/>
      <c r="G67" s="87"/>
      <c r="H67" s="87"/>
      <c r="I67" s="87"/>
      <c r="J67" s="87"/>
      <c r="K67" s="87"/>
      <c r="L67" s="87"/>
      <c r="M67" s="87"/>
      <c r="N67" s="87"/>
      <c r="O67" s="109"/>
      <c r="P67" s="109"/>
      <c r="Q67" s="109" t="str">
        <f t="shared" si="0"/>
        <v/>
      </c>
      <c r="R67" s="87"/>
      <c r="S67" s="106"/>
    </row>
    <row r="68" s="75" customFormat="1" customHeight="1" spans="1:19">
      <c r="A68" s="106"/>
      <c r="B68" s="106"/>
      <c r="C68" s="106"/>
      <c r="D68" s="106"/>
      <c r="E68" s="106"/>
      <c r="F68" s="106"/>
      <c r="G68" s="106"/>
      <c r="H68" s="106"/>
      <c r="I68" s="106"/>
      <c r="J68" s="106"/>
      <c r="K68" s="106"/>
      <c r="L68" s="106"/>
      <c r="M68" s="106"/>
      <c r="N68" s="106"/>
      <c r="O68" s="106"/>
      <c r="P68" s="106"/>
      <c r="Q68" s="78">
        <f>SUM(R53:R67)</f>
        <v>0</v>
      </c>
      <c r="R68" s="80"/>
      <c r="S68" s="106"/>
    </row>
    <row r="69" s="75" customFormat="1" customHeight="1" spans="1:19">
      <c r="A69" s="106"/>
      <c r="B69" s="95" t="s">
        <v>201</v>
      </c>
      <c r="C69" s="96"/>
      <c r="D69" s="96"/>
      <c r="E69" s="96"/>
      <c r="F69" s="96"/>
      <c r="G69" s="96"/>
      <c r="H69" s="96"/>
      <c r="I69" s="96"/>
      <c r="J69" s="96"/>
      <c r="K69" s="96"/>
      <c r="L69" s="96"/>
      <c r="M69" s="96"/>
      <c r="N69" s="111"/>
      <c r="O69" s="111"/>
      <c r="P69" s="111"/>
      <c r="Q69" s="111"/>
      <c r="R69" s="112"/>
      <c r="S69" s="106"/>
    </row>
    <row r="70" s="75" customFormat="1" customHeight="1" spans="1:19">
      <c r="A70" s="106"/>
      <c r="B70" s="101" t="s">
        <v>202</v>
      </c>
      <c r="C70" s="101"/>
      <c r="D70" s="101"/>
      <c r="E70" s="101"/>
      <c r="F70" s="113" t="s">
        <v>30</v>
      </c>
      <c r="G70" s="113"/>
      <c r="H70" s="113" t="s">
        <v>31</v>
      </c>
      <c r="I70" s="114" t="s">
        <v>32</v>
      </c>
      <c r="J70" s="114" t="s">
        <v>34</v>
      </c>
      <c r="K70" s="114" t="s">
        <v>37</v>
      </c>
      <c r="L70" s="113" t="s">
        <v>38</v>
      </c>
      <c r="M70" s="114" t="s">
        <v>39</v>
      </c>
      <c r="N70" s="113" t="s">
        <v>33</v>
      </c>
      <c r="O70" s="113"/>
      <c r="P70" s="12"/>
      <c r="Q70" s="12"/>
      <c r="R70" s="12"/>
      <c r="S70" s="106"/>
    </row>
    <row r="71" s="75" customFormat="1" customHeight="1" spans="1:19">
      <c r="A71" s="106"/>
      <c r="B71" s="87"/>
      <c r="C71" s="87"/>
      <c r="D71" s="87"/>
      <c r="E71" s="87"/>
      <c r="F71" s="113" t="s">
        <v>203</v>
      </c>
      <c r="G71" s="113"/>
      <c r="H71" s="115"/>
      <c r="I71" s="116">
        <v>1</v>
      </c>
      <c r="J71" s="117"/>
      <c r="K71" s="116"/>
      <c r="L71" s="118">
        <f t="shared" ref="L71:L79" si="1">H71+J71-K71</f>
        <v>0</v>
      </c>
      <c r="M71" s="119">
        <f t="shared" ref="M71:M79" si="2">INT(L71/10)*I71</f>
        <v>0</v>
      </c>
      <c r="N71" s="120"/>
      <c r="O71" s="121"/>
      <c r="P71" s="121"/>
      <c r="Q71" s="121"/>
      <c r="R71" s="122"/>
      <c r="S71" s="106"/>
    </row>
    <row r="72" s="75" customFormat="1" customHeight="1" spans="1:19">
      <c r="A72" s="106"/>
      <c r="B72" s="101" t="s">
        <v>204</v>
      </c>
      <c r="C72" s="101"/>
      <c r="D72" s="101"/>
      <c r="E72" s="101"/>
      <c r="F72" s="113" t="s">
        <v>205</v>
      </c>
      <c r="G72" s="113"/>
      <c r="H72" s="115"/>
      <c r="I72" s="116">
        <v>1</v>
      </c>
      <c r="J72" s="117"/>
      <c r="K72" s="116"/>
      <c r="L72" s="118">
        <f t="shared" si="1"/>
        <v>0</v>
      </c>
      <c r="M72" s="119">
        <f t="shared" si="2"/>
        <v>0</v>
      </c>
      <c r="N72" s="120"/>
      <c r="O72" s="123"/>
      <c r="P72" s="123"/>
      <c r="Q72" s="123"/>
      <c r="R72" s="122"/>
      <c r="S72" s="106"/>
    </row>
    <row r="73" s="75" customFormat="1" customHeight="1" spans="1:19">
      <c r="A73" s="106"/>
      <c r="B73" s="87"/>
      <c r="C73" s="87"/>
      <c r="D73" s="87"/>
      <c r="E73" s="87"/>
      <c r="F73" s="113" t="s">
        <v>46</v>
      </c>
      <c r="G73" s="113"/>
      <c r="H73" s="115"/>
      <c r="I73" s="116">
        <v>1</v>
      </c>
      <c r="J73" s="117"/>
      <c r="K73" s="116"/>
      <c r="L73" s="118">
        <f t="shared" si="1"/>
        <v>0</v>
      </c>
      <c r="M73" s="119">
        <f t="shared" si="2"/>
        <v>0</v>
      </c>
      <c r="N73" s="120"/>
      <c r="O73" s="123"/>
      <c r="P73" s="123"/>
      <c r="Q73" s="123"/>
      <c r="R73" s="122"/>
      <c r="S73" s="106"/>
    </row>
    <row r="74" s="75" customFormat="1" customHeight="1" spans="1:19">
      <c r="A74" s="106"/>
      <c r="B74" s="101" t="s">
        <v>206</v>
      </c>
      <c r="C74" s="101"/>
      <c r="D74" s="101"/>
      <c r="E74" s="101"/>
      <c r="F74" s="113" t="s">
        <v>47</v>
      </c>
      <c r="G74" s="113"/>
      <c r="H74" s="115"/>
      <c r="I74" s="116">
        <v>1</v>
      </c>
      <c r="J74" s="117"/>
      <c r="K74" s="116"/>
      <c r="L74" s="118">
        <f t="shared" si="1"/>
        <v>0</v>
      </c>
      <c r="M74" s="119">
        <f t="shared" si="2"/>
        <v>0</v>
      </c>
      <c r="N74" s="120"/>
      <c r="O74" s="123"/>
      <c r="P74" s="123"/>
      <c r="Q74" s="123"/>
      <c r="R74" s="122"/>
      <c r="S74" s="106"/>
    </row>
    <row r="75" s="75" customFormat="1" customHeight="1" spans="1:19">
      <c r="A75" s="106"/>
      <c r="B75" s="124"/>
      <c r="C75" s="125"/>
      <c r="D75" s="125"/>
      <c r="E75" s="126"/>
      <c r="F75" s="113" t="s">
        <v>48</v>
      </c>
      <c r="G75" s="113"/>
      <c r="H75" s="115"/>
      <c r="I75" s="116">
        <v>1</v>
      </c>
      <c r="J75" s="117"/>
      <c r="K75" s="116"/>
      <c r="L75" s="118">
        <f t="shared" si="1"/>
        <v>0</v>
      </c>
      <c r="M75" s="119">
        <f t="shared" si="2"/>
        <v>0</v>
      </c>
      <c r="N75" s="120"/>
      <c r="O75" s="123"/>
      <c r="P75" s="123"/>
      <c r="Q75" s="123"/>
      <c r="R75" s="122"/>
      <c r="S75" s="106"/>
    </row>
    <row r="76" s="75" customFormat="1" customHeight="1" spans="1:19">
      <c r="A76" s="106"/>
      <c r="B76" s="120"/>
      <c r="C76" s="123"/>
      <c r="D76" s="123"/>
      <c r="E76" s="122"/>
      <c r="F76" s="113" t="s">
        <v>50</v>
      </c>
      <c r="G76" s="113"/>
      <c r="H76" s="115"/>
      <c r="I76" s="116">
        <v>1</v>
      </c>
      <c r="J76" s="117"/>
      <c r="K76" s="116"/>
      <c r="L76" s="118">
        <f t="shared" si="1"/>
        <v>0</v>
      </c>
      <c r="M76" s="119">
        <f t="shared" si="2"/>
        <v>0</v>
      </c>
      <c r="N76" s="120"/>
      <c r="O76" s="123"/>
      <c r="P76" s="123"/>
      <c r="Q76" s="123"/>
      <c r="R76" s="122"/>
      <c r="S76" s="106"/>
    </row>
    <row r="77" s="75" customFormat="1" customHeight="1" spans="1:19">
      <c r="A77" s="106"/>
      <c r="B77" s="120"/>
      <c r="C77" s="123"/>
      <c r="D77" s="123"/>
      <c r="E77" s="122"/>
      <c r="F77" s="113" t="s">
        <v>51</v>
      </c>
      <c r="G77" s="113"/>
      <c r="H77" s="115"/>
      <c r="I77" s="116">
        <v>1</v>
      </c>
      <c r="J77" s="117"/>
      <c r="K77" s="116"/>
      <c r="L77" s="118">
        <f t="shared" si="1"/>
        <v>0</v>
      </c>
      <c r="M77" s="119">
        <f t="shared" si="2"/>
        <v>0</v>
      </c>
      <c r="N77" s="120"/>
      <c r="O77" s="123"/>
      <c r="P77" s="123"/>
      <c r="Q77" s="123"/>
      <c r="R77" s="122"/>
      <c r="S77" s="106"/>
    </row>
    <row r="78" s="75" customFormat="1" customHeight="1" spans="1:19">
      <c r="A78" s="106"/>
      <c r="B78" s="120"/>
      <c r="C78" s="123"/>
      <c r="D78" s="123"/>
      <c r="E78" s="122"/>
      <c r="F78" s="113" t="s">
        <v>52</v>
      </c>
      <c r="G78" s="113"/>
      <c r="H78" s="115"/>
      <c r="I78" s="116">
        <v>1</v>
      </c>
      <c r="J78" s="117"/>
      <c r="K78" s="116"/>
      <c r="L78" s="118">
        <f t="shared" si="1"/>
        <v>0</v>
      </c>
      <c r="M78" s="119">
        <f t="shared" si="2"/>
        <v>0</v>
      </c>
      <c r="N78" s="120"/>
      <c r="O78" s="123"/>
      <c r="P78" s="123"/>
      <c r="Q78" s="123"/>
      <c r="R78" s="122"/>
      <c r="S78" s="106"/>
    </row>
    <row r="79" s="75" customFormat="1" customHeight="1" spans="1:19">
      <c r="A79" s="106"/>
      <c r="B79" s="120"/>
      <c r="C79" s="123"/>
      <c r="D79" s="123"/>
      <c r="E79" s="122"/>
      <c r="F79" s="113" t="s">
        <v>53</v>
      </c>
      <c r="G79" s="113"/>
      <c r="H79" s="115"/>
      <c r="I79" s="116">
        <v>1</v>
      </c>
      <c r="J79" s="117"/>
      <c r="K79" s="116"/>
      <c r="L79" s="118">
        <f t="shared" si="1"/>
        <v>0</v>
      </c>
      <c r="M79" s="119">
        <f t="shared" si="2"/>
        <v>0</v>
      </c>
      <c r="N79" s="127"/>
      <c r="O79" s="128"/>
      <c r="P79" s="128"/>
      <c r="Q79" s="128"/>
      <c r="R79" s="129"/>
      <c r="S79" s="106"/>
    </row>
    <row r="80" s="75" customFormat="1" customHeight="1" spans="1:19">
      <c r="A80" s="106"/>
      <c r="B80" s="120"/>
      <c r="C80" s="123"/>
      <c r="D80" s="123"/>
      <c r="E80" s="122"/>
      <c r="F80" s="13" t="s">
        <v>78</v>
      </c>
      <c r="G80" s="13"/>
      <c r="H80" s="130"/>
      <c r="I80" s="130"/>
      <c r="J80" s="130"/>
      <c r="K80" s="13" t="s">
        <v>207</v>
      </c>
      <c r="L80" s="13"/>
      <c r="M80" s="130"/>
      <c r="N80" s="130"/>
      <c r="O80" s="13" t="s">
        <v>56</v>
      </c>
      <c r="P80" s="13"/>
      <c r="Q80" s="130"/>
      <c r="R80" s="130"/>
      <c r="S80" s="106"/>
    </row>
    <row r="81" s="75" customFormat="1" customHeight="1" spans="1:19">
      <c r="A81" s="106"/>
      <c r="B81" s="102" t="s">
        <v>105</v>
      </c>
      <c r="C81" s="102"/>
      <c r="D81" s="131"/>
      <c r="E81" s="109"/>
      <c r="F81" s="109"/>
      <c r="G81" s="109"/>
      <c r="H81" s="109"/>
      <c r="I81" s="109"/>
      <c r="J81" s="109"/>
      <c r="K81" s="109"/>
      <c r="L81" s="109"/>
      <c r="M81" s="109"/>
      <c r="N81" s="109"/>
      <c r="O81" s="109"/>
      <c r="P81" s="109"/>
      <c r="Q81" s="109"/>
      <c r="R81" s="109"/>
      <c r="S81" s="106"/>
    </row>
    <row r="82" s="75" customFormat="1" customHeight="1" spans="1:19">
      <c r="A82" s="106"/>
      <c r="B82" s="102"/>
      <c r="C82" s="102"/>
      <c r="D82" s="109"/>
      <c r="E82" s="109"/>
      <c r="F82" s="109"/>
      <c r="G82" s="109"/>
      <c r="H82" s="109"/>
      <c r="I82" s="109"/>
      <c r="J82" s="109"/>
      <c r="K82" s="109"/>
      <c r="L82" s="109"/>
      <c r="M82" s="109"/>
      <c r="N82" s="109"/>
      <c r="O82" s="109"/>
      <c r="P82" s="109"/>
      <c r="Q82" s="109"/>
      <c r="R82" s="109"/>
      <c r="S82" s="106"/>
    </row>
    <row r="83" s="75" customFormat="1" customHeight="1" spans="1:19">
      <c r="A83" s="106"/>
      <c r="B83" s="132" t="s">
        <v>106</v>
      </c>
      <c r="C83" s="133"/>
      <c r="D83" s="134"/>
      <c r="E83" s="135"/>
      <c r="F83" s="135"/>
      <c r="G83" s="135"/>
      <c r="H83" s="135"/>
      <c r="I83" s="135"/>
      <c r="J83" s="135"/>
      <c r="K83" s="135"/>
      <c r="L83" s="135"/>
      <c r="M83" s="135"/>
      <c r="N83" s="135"/>
      <c r="O83" s="135"/>
      <c r="P83" s="135"/>
      <c r="Q83" s="135"/>
      <c r="R83" s="136"/>
      <c r="S83" s="106"/>
    </row>
    <row r="84" s="75" customFormat="1" customHeight="1" spans="1:19">
      <c r="A84" s="106"/>
      <c r="B84" s="137"/>
      <c r="C84" s="138"/>
      <c r="D84" s="139"/>
      <c r="E84" s="140"/>
      <c r="F84" s="140"/>
      <c r="G84" s="140"/>
      <c r="H84" s="140"/>
      <c r="I84" s="140"/>
      <c r="J84" s="140"/>
      <c r="K84" s="140"/>
      <c r="L84" s="140"/>
      <c r="M84" s="140"/>
      <c r="N84" s="140"/>
      <c r="O84" s="140"/>
      <c r="P84" s="140"/>
      <c r="Q84" s="140"/>
      <c r="R84" s="141"/>
      <c r="S84" s="106"/>
    </row>
    <row r="85" s="75" customFormat="1" customHeight="1" spans="1:19">
      <c r="A85" s="106"/>
      <c r="B85" s="102" t="s">
        <v>181</v>
      </c>
      <c r="C85" s="102"/>
      <c r="D85" s="131"/>
      <c r="E85" s="131"/>
      <c r="F85" s="131"/>
      <c r="G85" s="131"/>
      <c r="H85" s="131"/>
      <c r="I85" s="131"/>
      <c r="J85" s="131"/>
      <c r="K85" s="131"/>
      <c r="L85" s="131"/>
      <c r="M85" s="131"/>
      <c r="N85" s="131"/>
      <c r="O85" s="131"/>
      <c r="P85" s="131"/>
      <c r="Q85" s="131"/>
      <c r="R85" s="131"/>
      <c r="S85" s="106"/>
    </row>
    <row r="86" s="75" customFormat="1" customHeight="1" spans="1:19">
      <c r="A86" s="106"/>
      <c r="B86" s="102"/>
      <c r="C86" s="102"/>
      <c r="D86" s="131"/>
      <c r="E86" s="131"/>
      <c r="F86" s="131"/>
      <c r="G86" s="131"/>
      <c r="H86" s="131"/>
      <c r="I86" s="131"/>
      <c r="J86" s="131"/>
      <c r="K86" s="131"/>
      <c r="L86" s="131"/>
      <c r="M86" s="131"/>
      <c r="N86" s="131"/>
      <c r="O86" s="131"/>
      <c r="P86" s="131"/>
      <c r="Q86" s="131"/>
      <c r="R86" s="131"/>
      <c r="S86" s="106"/>
    </row>
    <row r="87" s="75" customFormat="1" customHeight="1" spans="1:19">
      <c r="A87" s="106"/>
      <c r="B87" s="102" t="s">
        <v>208</v>
      </c>
      <c r="C87" s="102"/>
      <c r="D87" s="131"/>
      <c r="E87" s="131"/>
      <c r="F87" s="131"/>
      <c r="G87" s="131"/>
      <c r="H87" s="131"/>
      <c r="I87" s="131"/>
      <c r="J87" s="131"/>
      <c r="K87" s="131"/>
      <c r="L87" s="131"/>
      <c r="M87" s="131"/>
      <c r="N87" s="131"/>
      <c r="O87" s="131"/>
      <c r="P87" s="131"/>
      <c r="Q87" s="131"/>
      <c r="R87" s="131"/>
      <c r="S87" s="106"/>
    </row>
    <row r="88" s="75" customFormat="1" customHeight="1" spans="1:19">
      <c r="A88" s="106"/>
      <c r="B88" s="102"/>
      <c r="C88" s="102"/>
      <c r="D88" s="131"/>
      <c r="E88" s="131"/>
      <c r="F88" s="131"/>
      <c r="G88" s="131"/>
      <c r="H88" s="131"/>
      <c r="I88" s="131"/>
      <c r="J88" s="131"/>
      <c r="K88" s="131"/>
      <c r="L88" s="131"/>
      <c r="M88" s="131"/>
      <c r="N88" s="131"/>
      <c r="O88" s="131"/>
      <c r="P88" s="131"/>
      <c r="Q88" s="131"/>
      <c r="R88" s="131"/>
      <c r="S88" s="106"/>
    </row>
    <row r="89" s="75" customFormat="1" customHeight="1" spans="1:19">
      <c r="A89" s="106"/>
      <c r="B89" s="102" t="s">
        <v>156</v>
      </c>
      <c r="C89" s="102"/>
      <c r="D89" s="102"/>
      <c r="E89" s="102"/>
      <c r="F89" s="102"/>
      <c r="G89" s="102"/>
      <c r="H89" s="102"/>
      <c r="I89" s="102"/>
      <c r="J89" s="102"/>
      <c r="K89" s="102"/>
      <c r="L89" s="102"/>
      <c r="M89" s="102"/>
      <c r="N89" s="102"/>
      <c r="O89" s="102"/>
      <c r="P89" s="102"/>
      <c r="Q89" s="102"/>
      <c r="R89" s="102"/>
      <c r="S89" s="106"/>
    </row>
    <row r="90" s="75" customFormat="1" customHeight="1" spans="1:19">
      <c r="A90" s="106"/>
      <c r="B90" s="123"/>
      <c r="C90" s="123"/>
      <c r="D90" s="123"/>
      <c r="E90" s="123"/>
      <c r="F90" s="123"/>
      <c r="G90" s="123"/>
      <c r="H90" s="123"/>
      <c r="I90" s="123"/>
      <c r="J90" s="123"/>
      <c r="K90" s="123"/>
      <c r="L90" s="123"/>
      <c r="M90" s="123"/>
      <c r="N90" s="123"/>
      <c r="O90" s="123"/>
      <c r="P90" s="123"/>
      <c r="Q90" s="123"/>
      <c r="R90" s="123"/>
      <c r="S90" s="106"/>
    </row>
    <row r="91" s="75" customFormat="1" customHeight="1" spans="1:19">
      <c r="A91" s="106"/>
      <c r="B91" s="123"/>
      <c r="C91" s="123"/>
      <c r="D91" s="123"/>
      <c r="E91" s="123"/>
      <c r="F91" s="123"/>
      <c r="G91" s="123"/>
      <c r="H91" s="123"/>
      <c r="I91" s="123"/>
      <c r="J91" s="123"/>
      <c r="K91" s="123"/>
      <c r="L91" s="123"/>
      <c r="M91" s="123"/>
      <c r="N91" s="123"/>
      <c r="O91" s="123"/>
      <c r="P91" s="123"/>
      <c r="Q91" s="123"/>
      <c r="R91" s="123"/>
      <c r="S91" s="106"/>
    </row>
    <row r="92" s="75" customFormat="1" customHeight="1" spans="1:19">
      <c r="A92" s="106"/>
      <c r="B92" s="106"/>
      <c r="C92" s="106"/>
      <c r="D92" s="106"/>
      <c r="E92" s="106"/>
      <c r="F92" s="106"/>
      <c r="G92" s="106"/>
      <c r="H92" s="106"/>
      <c r="I92" s="106"/>
      <c r="J92" s="106"/>
      <c r="K92" s="106"/>
      <c r="L92" s="106"/>
      <c r="M92" s="106"/>
      <c r="N92" s="106"/>
      <c r="O92" s="106"/>
      <c r="P92" s="106"/>
      <c r="Q92" s="106"/>
      <c r="R92" s="106"/>
      <c r="S92" s="106"/>
    </row>
    <row r="93" s="75" customFormat="1" customHeight="1" spans="1:19">
      <c r="A93" s="106"/>
      <c r="B93" s="95" t="s">
        <v>209</v>
      </c>
      <c r="C93" s="96"/>
      <c r="D93" s="96"/>
      <c r="E93" s="96"/>
      <c r="F93" s="96"/>
      <c r="G93" s="96"/>
      <c r="H93" s="96"/>
      <c r="I93" s="96"/>
      <c r="J93" s="96"/>
      <c r="K93" s="96"/>
      <c r="L93" s="96"/>
      <c r="M93" s="96"/>
      <c r="N93" s="96"/>
      <c r="O93" s="96"/>
      <c r="P93" s="96"/>
      <c r="Q93" s="96"/>
      <c r="R93" s="97"/>
      <c r="S93" s="106"/>
    </row>
    <row r="94" s="75" customFormat="1" customHeight="1" spans="1:19">
      <c r="A94" s="106"/>
      <c r="B94" s="98" t="s">
        <v>109</v>
      </c>
      <c r="C94" s="99"/>
      <c r="D94" s="99"/>
      <c r="E94" s="100"/>
      <c r="F94" s="142" t="s">
        <v>165</v>
      </c>
      <c r="G94" s="143"/>
      <c r="H94" s="143"/>
      <c r="I94" s="143"/>
      <c r="J94" s="143"/>
      <c r="K94" s="143"/>
      <c r="L94" s="143"/>
      <c r="M94" s="143"/>
      <c r="N94" s="143"/>
      <c r="O94" s="143"/>
      <c r="P94" s="143"/>
      <c r="Q94" s="143"/>
      <c r="R94" s="144"/>
      <c r="S94" s="106"/>
    </row>
    <row r="95" s="75" customFormat="1" customHeight="1" spans="1:19">
      <c r="A95" s="106"/>
      <c r="B95" s="88"/>
      <c r="C95" s="89"/>
      <c r="D95" s="89"/>
      <c r="E95" s="90"/>
      <c r="F95" s="88"/>
      <c r="G95" s="89"/>
      <c r="H95" s="89"/>
      <c r="I95" s="89"/>
      <c r="J95" s="89"/>
      <c r="K95" s="89"/>
      <c r="L95" s="89"/>
      <c r="M95" s="89"/>
      <c r="N95" s="89"/>
      <c r="O95" s="89"/>
      <c r="P95" s="89"/>
      <c r="Q95" s="89"/>
      <c r="R95" s="90"/>
      <c r="S95" s="106"/>
    </row>
    <row r="96" s="75" customFormat="1" customHeight="1" spans="1:19">
      <c r="A96" s="106"/>
      <c r="B96" s="88"/>
      <c r="C96" s="89"/>
      <c r="D96" s="89"/>
      <c r="E96" s="90"/>
      <c r="F96" s="88"/>
      <c r="G96" s="89"/>
      <c r="H96" s="89"/>
      <c r="I96" s="89"/>
      <c r="J96" s="89"/>
      <c r="K96" s="89"/>
      <c r="L96" s="89"/>
      <c r="M96" s="89"/>
      <c r="N96" s="89"/>
      <c r="O96" s="89"/>
      <c r="P96" s="89"/>
      <c r="Q96" s="89"/>
      <c r="R96" s="90"/>
      <c r="S96" s="106"/>
    </row>
    <row r="97" s="75" customFormat="1" customHeight="1" spans="1:19">
      <c r="A97" s="106"/>
      <c r="B97" s="88"/>
      <c r="C97" s="89"/>
      <c r="D97" s="89"/>
      <c r="E97" s="90"/>
      <c r="F97" s="88"/>
      <c r="G97" s="89"/>
      <c r="H97" s="89"/>
      <c r="I97" s="89"/>
      <c r="J97" s="89"/>
      <c r="K97" s="89"/>
      <c r="L97" s="89"/>
      <c r="M97" s="89"/>
      <c r="N97" s="89"/>
      <c r="O97" s="89"/>
      <c r="P97" s="89"/>
      <c r="Q97" s="89"/>
      <c r="R97" s="90"/>
      <c r="S97" s="106"/>
    </row>
    <row r="98" s="75" customFormat="1" customHeight="1" spans="1:19">
      <c r="A98" s="106"/>
      <c r="B98" s="88"/>
      <c r="C98" s="89"/>
      <c r="D98" s="89"/>
      <c r="E98" s="90"/>
      <c r="F98" s="88"/>
      <c r="G98" s="89"/>
      <c r="H98" s="89"/>
      <c r="I98" s="89"/>
      <c r="J98" s="89"/>
      <c r="K98" s="89"/>
      <c r="L98" s="89"/>
      <c r="M98" s="89"/>
      <c r="N98" s="89"/>
      <c r="O98" s="89"/>
      <c r="P98" s="89"/>
      <c r="Q98" s="89"/>
      <c r="R98" s="90"/>
      <c r="S98" s="106"/>
    </row>
    <row r="99" s="75" customFormat="1" customHeight="1" spans="1:19">
      <c r="A99" s="106"/>
      <c r="B99" s="88"/>
      <c r="C99" s="89"/>
      <c r="D99" s="89"/>
      <c r="E99" s="90"/>
      <c r="F99" s="88"/>
      <c r="G99" s="89"/>
      <c r="H99" s="89"/>
      <c r="I99" s="89"/>
      <c r="J99" s="89"/>
      <c r="K99" s="89"/>
      <c r="L99" s="89"/>
      <c r="M99" s="89"/>
      <c r="N99" s="89"/>
      <c r="O99" s="89"/>
      <c r="P99" s="89"/>
      <c r="Q99" s="89"/>
      <c r="R99" s="90"/>
      <c r="S99" s="106"/>
    </row>
    <row r="100" s="75" customFormat="1" customHeight="1" spans="1:19">
      <c r="A100" s="106"/>
      <c r="B100" s="88"/>
      <c r="C100" s="89"/>
      <c r="D100" s="89"/>
      <c r="E100" s="90"/>
      <c r="F100" s="88"/>
      <c r="G100" s="89"/>
      <c r="H100" s="89"/>
      <c r="I100" s="89"/>
      <c r="J100" s="89"/>
      <c r="K100" s="89"/>
      <c r="L100" s="89"/>
      <c r="M100" s="89"/>
      <c r="N100" s="89"/>
      <c r="O100" s="89"/>
      <c r="P100" s="89"/>
      <c r="Q100" s="89"/>
      <c r="R100" s="90"/>
      <c r="S100" s="106"/>
    </row>
    <row r="101" s="75" customFormat="1" customHeight="1" spans="1:19">
      <c r="A101" s="106"/>
      <c r="B101" s="88"/>
      <c r="C101" s="89"/>
      <c r="D101" s="89"/>
      <c r="E101" s="90"/>
      <c r="F101" s="88"/>
      <c r="G101" s="89"/>
      <c r="H101" s="89"/>
      <c r="I101" s="89"/>
      <c r="J101" s="89"/>
      <c r="K101" s="89"/>
      <c r="L101" s="89"/>
      <c r="M101" s="89"/>
      <c r="N101" s="89"/>
      <c r="O101" s="89"/>
      <c r="P101" s="89"/>
      <c r="Q101" s="89"/>
      <c r="R101" s="90"/>
      <c r="S101" s="106"/>
    </row>
    <row r="102" s="75" customFormat="1" customHeight="1" spans="1:19">
      <c r="A102" s="106"/>
      <c r="B102" s="88"/>
      <c r="C102" s="89"/>
      <c r="D102" s="89"/>
      <c r="E102" s="90"/>
      <c r="F102" s="88"/>
      <c r="G102" s="89"/>
      <c r="H102" s="89"/>
      <c r="I102" s="89"/>
      <c r="J102" s="89"/>
      <c r="K102" s="89"/>
      <c r="L102" s="89"/>
      <c r="M102" s="89"/>
      <c r="N102" s="89"/>
      <c r="O102" s="89"/>
      <c r="P102" s="89"/>
      <c r="Q102" s="89"/>
      <c r="R102" s="90"/>
      <c r="S102" s="106"/>
    </row>
    <row r="103" s="75" customFormat="1" customHeight="1" spans="1:19">
      <c r="A103" s="106"/>
      <c r="B103" s="88"/>
      <c r="C103" s="89"/>
      <c r="D103" s="89"/>
      <c r="E103" s="90"/>
      <c r="F103" s="88"/>
      <c r="G103" s="89"/>
      <c r="H103" s="89"/>
      <c r="I103" s="89"/>
      <c r="J103" s="89"/>
      <c r="K103" s="89"/>
      <c r="L103" s="89"/>
      <c r="M103" s="89"/>
      <c r="N103" s="89"/>
      <c r="O103" s="89"/>
      <c r="P103" s="89"/>
      <c r="Q103" s="89"/>
      <c r="R103" s="90"/>
      <c r="S103" s="106"/>
    </row>
    <row r="104" s="75" customFormat="1" customHeight="1" spans="1:19">
      <c r="A104" s="106"/>
      <c r="B104" s="88"/>
      <c r="C104" s="89"/>
      <c r="D104" s="89"/>
      <c r="E104" s="90"/>
      <c r="F104" s="88"/>
      <c r="G104" s="89"/>
      <c r="H104" s="89"/>
      <c r="I104" s="89"/>
      <c r="J104" s="89"/>
      <c r="K104" s="89"/>
      <c r="L104" s="89"/>
      <c r="M104" s="89"/>
      <c r="N104" s="89"/>
      <c r="O104" s="89"/>
      <c r="P104" s="89"/>
      <c r="Q104" s="89"/>
      <c r="R104" s="90"/>
      <c r="S104" s="106"/>
    </row>
    <row r="105" s="75" customFormat="1" customHeight="1" spans="1:19">
      <c r="A105" s="106"/>
      <c r="B105" s="106"/>
      <c r="C105" s="106"/>
      <c r="D105" s="106"/>
      <c r="E105" s="106"/>
      <c r="F105" s="106"/>
      <c r="G105" s="106"/>
      <c r="H105" s="106"/>
      <c r="I105" s="106"/>
      <c r="J105" s="106"/>
      <c r="K105" s="106"/>
      <c r="L105" s="106"/>
      <c r="M105" s="106"/>
      <c r="N105" s="106"/>
      <c r="O105" s="106"/>
      <c r="P105" s="106"/>
      <c r="Q105" s="106"/>
      <c r="R105" s="106"/>
      <c r="S105" s="106"/>
    </row>
    <row r="106" s="75" customFormat="1" customHeight="1" spans="1:19">
      <c r="A106" s="106"/>
      <c r="B106" s="95" t="s">
        <v>210</v>
      </c>
      <c r="C106" s="96"/>
      <c r="D106" s="96"/>
      <c r="E106" s="96"/>
      <c r="F106" s="96"/>
      <c r="G106" s="96"/>
      <c r="H106" s="96"/>
      <c r="I106" s="96"/>
      <c r="J106" s="96"/>
      <c r="K106" s="96"/>
      <c r="L106" s="96"/>
      <c r="M106" s="96"/>
      <c r="N106" s="96"/>
      <c r="O106" s="96"/>
      <c r="P106" s="96"/>
      <c r="Q106" s="96"/>
      <c r="R106" s="97"/>
      <c r="S106" s="106"/>
    </row>
    <row r="107" s="75" customFormat="1" customHeight="1" spans="1:19">
      <c r="A107" s="106"/>
      <c r="B107" s="103" t="s">
        <v>169</v>
      </c>
      <c r="C107" s="107"/>
      <c r="D107" s="107"/>
      <c r="E107" s="107"/>
      <c r="F107" s="107"/>
      <c r="G107" s="107"/>
      <c r="H107" s="107"/>
      <c r="I107" s="107"/>
      <c r="J107" s="107"/>
      <c r="K107" s="107"/>
      <c r="L107" s="107"/>
      <c r="M107" s="107"/>
      <c r="N107" s="107"/>
      <c r="O107" s="107"/>
      <c r="P107" s="107"/>
      <c r="Q107" s="104"/>
      <c r="R107" s="102" t="s">
        <v>36</v>
      </c>
      <c r="S107" s="106"/>
    </row>
    <row r="108" s="75" customFormat="1" customHeight="1" spans="1:19">
      <c r="A108" s="106"/>
      <c r="B108" s="88"/>
      <c r="C108" s="89"/>
      <c r="D108" s="89"/>
      <c r="E108" s="89"/>
      <c r="F108" s="89"/>
      <c r="G108" s="89"/>
      <c r="H108" s="89"/>
      <c r="I108" s="89"/>
      <c r="J108" s="89"/>
      <c r="K108" s="89"/>
      <c r="L108" s="89"/>
      <c r="M108" s="89"/>
      <c r="N108" s="89"/>
      <c r="O108" s="89"/>
      <c r="P108" s="89"/>
      <c r="Q108" s="90"/>
      <c r="R108" s="87"/>
      <c r="S108" s="106"/>
    </row>
    <row r="109" s="75" customFormat="1" customHeight="1" spans="1:19">
      <c r="A109" s="106"/>
      <c r="B109" s="88"/>
      <c r="C109" s="89"/>
      <c r="D109" s="89"/>
      <c r="E109" s="89"/>
      <c r="F109" s="89"/>
      <c r="G109" s="89"/>
      <c r="H109" s="89"/>
      <c r="I109" s="89"/>
      <c r="J109" s="89"/>
      <c r="K109" s="89"/>
      <c r="L109" s="89"/>
      <c r="M109" s="89"/>
      <c r="N109" s="89"/>
      <c r="O109" s="89"/>
      <c r="P109" s="89"/>
      <c r="Q109" s="90"/>
      <c r="R109" s="87"/>
      <c r="S109" s="106"/>
    </row>
    <row r="110" s="75" customFormat="1" customHeight="1" spans="1:19">
      <c r="A110" s="106"/>
      <c r="B110" s="88"/>
      <c r="C110" s="89"/>
      <c r="D110" s="89"/>
      <c r="E110" s="89"/>
      <c r="F110" s="89"/>
      <c r="G110" s="89"/>
      <c r="H110" s="89"/>
      <c r="I110" s="89"/>
      <c r="J110" s="89"/>
      <c r="K110" s="89"/>
      <c r="L110" s="89"/>
      <c r="M110" s="89"/>
      <c r="N110" s="89"/>
      <c r="O110" s="89"/>
      <c r="P110" s="89"/>
      <c r="Q110" s="90"/>
      <c r="R110" s="87"/>
      <c r="S110" s="106"/>
    </row>
    <row r="111" s="75" customFormat="1" customHeight="1" spans="1:19">
      <c r="A111" s="106"/>
      <c r="B111" s="88"/>
      <c r="C111" s="89"/>
      <c r="D111" s="89"/>
      <c r="E111" s="89"/>
      <c r="F111" s="89"/>
      <c r="G111" s="89"/>
      <c r="H111" s="89"/>
      <c r="I111" s="89"/>
      <c r="J111" s="89"/>
      <c r="K111" s="89"/>
      <c r="L111" s="89"/>
      <c r="M111" s="89"/>
      <c r="N111" s="89"/>
      <c r="O111" s="89"/>
      <c r="P111" s="89"/>
      <c r="Q111" s="90"/>
      <c r="R111" s="87"/>
      <c r="S111" s="106"/>
    </row>
    <row r="112" s="75" customFormat="1" customHeight="1" spans="1:19">
      <c r="A112" s="106"/>
      <c r="B112" s="88"/>
      <c r="C112" s="89"/>
      <c r="D112" s="89"/>
      <c r="E112" s="89"/>
      <c r="F112" s="89"/>
      <c r="G112" s="89"/>
      <c r="H112" s="89"/>
      <c r="I112" s="89"/>
      <c r="J112" s="89"/>
      <c r="K112" s="89"/>
      <c r="L112" s="89"/>
      <c r="M112" s="89"/>
      <c r="N112" s="89"/>
      <c r="O112" s="89"/>
      <c r="P112" s="89"/>
      <c r="Q112" s="90"/>
      <c r="R112" s="87"/>
      <c r="S112" s="106"/>
    </row>
    <row r="113" s="75" customFormat="1" customHeight="1" spans="1:19">
      <c r="A113" s="106"/>
      <c r="B113" s="88"/>
      <c r="C113" s="89"/>
      <c r="D113" s="89"/>
      <c r="E113" s="89"/>
      <c r="F113" s="89"/>
      <c r="G113" s="89"/>
      <c r="H113" s="89"/>
      <c r="I113" s="89"/>
      <c r="J113" s="89"/>
      <c r="K113" s="89"/>
      <c r="L113" s="89"/>
      <c r="M113" s="89"/>
      <c r="N113" s="89"/>
      <c r="O113" s="89"/>
      <c r="P113" s="89"/>
      <c r="Q113" s="90"/>
      <c r="R113" s="87"/>
      <c r="S113" s="106"/>
    </row>
    <row r="114" s="75" customFormat="1" customHeight="1" spans="1:19">
      <c r="A114" s="106"/>
      <c r="B114" s="88"/>
      <c r="C114" s="89"/>
      <c r="D114" s="89"/>
      <c r="E114" s="89"/>
      <c r="F114" s="89"/>
      <c r="G114" s="89"/>
      <c r="H114" s="89"/>
      <c r="I114" s="89"/>
      <c r="J114" s="89"/>
      <c r="K114" s="89"/>
      <c r="L114" s="89"/>
      <c r="M114" s="89"/>
      <c r="N114" s="89"/>
      <c r="O114" s="89"/>
      <c r="P114" s="89"/>
      <c r="Q114" s="90"/>
      <c r="R114" s="87"/>
      <c r="S114" s="106"/>
    </row>
    <row r="115" s="75" customFormat="1" customHeight="1" spans="1:19">
      <c r="A115" s="106"/>
      <c r="B115" s="106"/>
      <c r="C115" s="106"/>
      <c r="D115" s="106"/>
      <c r="E115" s="106"/>
      <c r="F115" s="106"/>
      <c r="G115" s="106"/>
      <c r="H115" s="106"/>
      <c r="I115" s="106"/>
      <c r="J115" s="106"/>
      <c r="K115" s="106"/>
      <c r="L115" s="106"/>
      <c r="M115" s="106"/>
      <c r="N115" s="106"/>
      <c r="O115" s="78" t="s">
        <v>211</v>
      </c>
      <c r="P115" s="80"/>
      <c r="Q115" s="78">
        <f>SUM(R108:R114)+Q68+Q50+Q35+Q30</f>
        <v>0</v>
      </c>
      <c r="R115" s="80"/>
      <c r="S115" s="106"/>
    </row>
  </sheetData>
  <sheetProtection formatCells="0" formatColumns="0" formatRows="0" insertRows="0" insertColumns="0" insertHyperlinks="0" deleteColumns="0" deleteRows="0" sort="0" autoFilter="0" pivotTables="0"/>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
  <sheetViews>
    <sheetView showGridLines="0" zoomScale="70" zoomScaleNormal="70" workbookViewId="0">
      <selection activeCell="E11" sqref="E11:G13"/>
    </sheetView>
  </sheetViews>
  <sheetFormatPr defaultColWidth="5.18333333333333" defaultRowHeight="20" customHeight="1"/>
  <cols>
    <col min="1" max="1" width="3.33333333333333" style="41" customWidth="1"/>
    <col min="2" max="19" width="6.66666666666667" style="41" customWidth="1"/>
    <col min="20" max="20" width="3.33333333333333" style="41" customWidth="1"/>
    <col min="21" max="22" width="5.58333333333333" customWidth="1"/>
    <col min="23" max="16380" width="5.18333333333333" style="42" customWidth="1"/>
    <col min="16381" max="16384" width="5.18333333333333" style="42"/>
  </cols>
  <sheetData>
    <row r="1" customHeight="1" spans="1:26">
      <c r="A1" s="43"/>
      <c r="B1" s="43"/>
      <c r="C1" s="43"/>
      <c r="D1" s="43"/>
      <c r="E1" s="43"/>
      <c r="F1" s="43"/>
      <c r="G1" s="43"/>
      <c r="H1" s="43"/>
      <c r="I1" s="43"/>
      <c r="J1" s="43"/>
      <c r="K1" s="43"/>
      <c r="L1" s="43"/>
      <c r="M1" s="43"/>
      <c r="N1" s="43"/>
      <c r="O1" s="43"/>
      <c r="P1" s="43"/>
      <c r="Q1" s="43"/>
      <c r="R1" s="43"/>
      <c r="S1" s="43"/>
      <c r="T1" s="43"/>
    </row>
    <row r="2" customHeight="1" spans="1:26">
      <c r="A2" s="43"/>
      <c r="B2" s="44" t="s">
        <v>212</v>
      </c>
      <c r="C2" s="44"/>
      <c r="D2" s="44"/>
      <c r="E2" s="44"/>
      <c r="F2" s="44"/>
      <c r="G2" s="44"/>
      <c r="H2" s="44"/>
      <c r="I2" s="44"/>
      <c r="J2" s="44"/>
      <c r="K2" s="44" t="s">
        <v>213</v>
      </c>
      <c r="L2" s="44"/>
      <c r="M2" s="44"/>
      <c r="N2" s="44"/>
      <c r="O2" s="44"/>
      <c r="P2" s="44"/>
      <c r="Q2" s="45" t="s">
        <v>214</v>
      </c>
      <c r="R2" s="46"/>
      <c r="S2" s="47"/>
      <c r="T2" s="43"/>
    </row>
    <row r="3" customHeight="1" spans="1:26">
      <c r="A3" s="43"/>
      <c r="B3" s="48" t="s">
        <v>215</v>
      </c>
      <c r="C3" s="48" t="s">
        <v>216</v>
      </c>
      <c r="D3" s="48" t="s">
        <v>217</v>
      </c>
      <c r="E3" s="48" t="s">
        <v>22</v>
      </c>
      <c r="F3" s="48" t="s">
        <v>218</v>
      </c>
      <c r="G3" s="48" t="s">
        <v>219</v>
      </c>
      <c r="H3" s="48" t="s">
        <v>220</v>
      </c>
      <c r="I3" s="48" t="s">
        <v>221</v>
      </c>
      <c r="J3" s="49" t="s">
        <v>77</v>
      </c>
      <c r="K3" s="48" t="s">
        <v>222</v>
      </c>
      <c r="L3" s="48"/>
      <c r="M3" s="48" t="s">
        <v>223</v>
      </c>
      <c r="N3" s="48"/>
      <c r="O3" s="48" t="s">
        <v>224</v>
      </c>
      <c r="P3" s="48"/>
      <c r="Q3" s="50" t="s">
        <v>225</v>
      </c>
      <c r="R3" s="50"/>
      <c r="S3" s="51"/>
      <c r="T3" s="43"/>
    </row>
    <row r="4" customHeight="1" spans="1:26">
      <c r="A4" s="43"/>
      <c r="B4" s="48" t="s">
        <v>199</v>
      </c>
      <c r="C4" s="52"/>
      <c r="D4" s="52"/>
      <c r="E4" s="52"/>
      <c r="F4" s="52"/>
      <c r="G4" s="52"/>
      <c r="H4" s="52"/>
      <c r="I4" s="52"/>
      <c r="J4" s="52"/>
      <c r="K4" s="53"/>
      <c r="L4" s="54"/>
      <c r="M4" s="53"/>
      <c r="N4" s="54"/>
      <c r="O4" s="53"/>
      <c r="P4" s="54"/>
      <c r="Q4" s="55" t="s">
        <v>226</v>
      </c>
      <c r="R4" s="55" t="s">
        <v>227</v>
      </c>
      <c r="S4" s="55" t="s">
        <v>228</v>
      </c>
      <c r="T4" s="43"/>
      <c r="W4"/>
      <c r="X4"/>
      <c r="Y4"/>
      <c r="Z4"/>
    </row>
    <row r="5" customHeight="1" spans="1:26">
      <c r="A5" s="43"/>
      <c r="B5" s="48" t="s">
        <v>229</v>
      </c>
      <c r="C5" s="52"/>
      <c r="D5" s="52"/>
      <c r="E5" s="52"/>
      <c r="F5" s="52"/>
      <c r="G5" s="52"/>
      <c r="H5" s="52"/>
      <c r="I5" s="52"/>
      <c r="J5" s="52"/>
      <c r="K5" s="48" t="s">
        <v>230</v>
      </c>
      <c r="L5" s="48"/>
      <c r="M5" s="48" t="s">
        <v>231</v>
      </c>
      <c r="N5" s="48"/>
      <c r="O5" s="48" t="s">
        <v>232</v>
      </c>
      <c r="P5" s="48" t="s">
        <v>233</v>
      </c>
      <c r="Q5" s="52">
        <f>ROUND(R5/2,0)</f>
        <v>0</v>
      </c>
      <c r="R5" s="52">
        <f>M4</f>
        <v>0</v>
      </c>
      <c r="S5" s="52">
        <f>R5+3</f>
        <v>3</v>
      </c>
      <c r="T5" s="43"/>
      <c r="W5"/>
      <c r="X5"/>
      <c r="Y5"/>
      <c r="Z5"/>
    </row>
    <row r="6" customHeight="1" spans="1:26">
      <c r="A6" s="43"/>
      <c r="B6" s="48" t="s">
        <v>234</v>
      </c>
      <c r="C6" s="52"/>
      <c r="D6" s="52"/>
      <c r="E6" s="52"/>
      <c r="F6" s="52"/>
      <c r="G6" s="52"/>
      <c r="H6" s="52"/>
      <c r="I6" s="52"/>
      <c r="J6" s="52"/>
      <c r="K6" s="53"/>
      <c r="L6" s="54"/>
      <c r="M6" s="53"/>
      <c r="N6" s="54"/>
      <c r="O6" s="56">
        <f>人物!K20</f>
        <v>0</v>
      </c>
      <c r="P6" s="56">
        <f>人物!L20</f>
        <v>0</v>
      </c>
      <c r="Q6" s="49" t="s">
        <v>235</v>
      </c>
      <c r="R6" s="50"/>
      <c r="S6" s="51"/>
      <c r="T6" s="43"/>
      <c r="W6"/>
      <c r="X6"/>
      <c r="Y6"/>
      <c r="Z6"/>
    </row>
    <row r="7" customHeight="1" spans="1:26">
      <c r="A7" s="43"/>
      <c r="B7" s="48" t="s">
        <v>236</v>
      </c>
      <c r="C7" s="52"/>
      <c r="D7" s="52"/>
      <c r="E7" s="52"/>
      <c r="F7" s="52"/>
      <c r="G7" s="52"/>
      <c r="H7" s="52"/>
      <c r="I7" s="52"/>
      <c r="J7" s="52"/>
      <c r="K7" s="48" t="s">
        <v>237</v>
      </c>
      <c r="L7" s="48"/>
      <c r="M7" s="48"/>
      <c r="N7" s="48"/>
      <c r="O7" s="48"/>
      <c r="P7" s="48"/>
      <c r="Q7" s="55" t="s">
        <v>226</v>
      </c>
      <c r="R7" s="55" t="s">
        <v>227</v>
      </c>
      <c r="S7" s="55" t="s">
        <v>228</v>
      </c>
      <c r="T7" s="43"/>
    </row>
    <row r="8" customHeight="1" spans="1:26">
      <c r="A8" s="43"/>
      <c r="B8" s="48" t="s">
        <v>238</v>
      </c>
      <c r="C8" s="52" t="str">
        <f>IF(M4="","",IF(C6="√",2,0)+P6+K4+C7)</f>
        <v/>
      </c>
      <c r="D8" s="52" t="str">
        <f>IF(M4="","",IF(D6="√",2,0)+P6+K4+D7)</f>
        <v/>
      </c>
      <c r="E8" s="52" t="str">
        <f>IF(M4="","",IF(E6="√",2,0)+P6+K4+E7)</f>
        <v/>
      </c>
      <c r="F8" s="52" t="str">
        <f>IF(M4="","",IF(F6="√",2,0)+P6+K4+F7)</f>
        <v/>
      </c>
      <c r="G8" s="52" t="str">
        <f>IF(M4="","",IF(G6="√",2,0)+P6+K4+G7)</f>
        <v/>
      </c>
      <c r="H8" s="52" t="str">
        <f>IF(M4="","",IF(H6="√",2,0)+P6+K4+H7)</f>
        <v/>
      </c>
      <c r="I8" s="52" t="str">
        <f>IF(M4="","",IF(I6="√",2,0)+P6+K4+I7)</f>
        <v/>
      </c>
      <c r="J8" s="52" t="str">
        <f>IF(M4="","",IF(J6="√",2,0)+P6+K4+J7)</f>
        <v/>
      </c>
      <c r="K8" s="52"/>
      <c r="L8" s="52"/>
      <c r="M8" s="52"/>
      <c r="N8" s="52"/>
      <c r="O8" s="52"/>
      <c r="P8" s="52"/>
      <c r="Q8" s="52">
        <f>Q5*5+O6</f>
        <v>0</v>
      </c>
      <c r="R8" s="52">
        <f>R5*5+O6</f>
        <v>0</v>
      </c>
      <c r="S8" s="52">
        <f>S5*5+O6</f>
        <v>15</v>
      </c>
      <c r="T8" s="43"/>
    </row>
    <row r="9" customHeight="1" spans="1:26">
      <c r="A9" s="43"/>
      <c r="B9" s="43"/>
      <c r="C9" s="43"/>
      <c r="D9" s="43"/>
      <c r="E9" s="43"/>
      <c r="F9" s="43"/>
      <c r="G9" s="43"/>
      <c r="H9" s="43"/>
      <c r="I9" s="43"/>
      <c r="J9" s="43"/>
      <c r="K9" s="43"/>
      <c r="L9" s="43"/>
      <c r="M9" s="43"/>
      <c r="N9" s="43"/>
      <c r="O9" s="43"/>
      <c r="P9" s="43"/>
      <c r="Q9" s="43"/>
      <c r="R9" s="43"/>
      <c r="S9" s="43"/>
      <c r="T9" s="43"/>
    </row>
    <row r="10" customHeight="1" spans="1:26">
      <c r="A10" s="43"/>
      <c r="B10" s="57" t="s">
        <v>239</v>
      </c>
      <c r="C10" s="58"/>
      <c r="D10" s="58"/>
      <c r="E10" s="58"/>
      <c r="F10" s="58"/>
      <c r="G10" s="58"/>
      <c r="H10" s="58"/>
      <c r="I10" s="58"/>
      <c r="J10" s="58"/>
      <c r="K10" s="58"/>
      <c r="L10" s="58"/>
      <c r="M10" s="58"/>
      <c r="N10" s="58"/>
      <c r="O10" s="58"/>
      <c r="P10" s="58"/>
      <c r="Q10" s="58"/>
      <c r="R10" s="58"/>
      <c r="S10" s="58"/>
      <c r="T10" s="43"/>
    </row>
    <row r="11" customHeight="1" spans="1:26">
      <c r="A11" s="43"/>
      <c r="B11" s="48" t="s">
        <v>240</v>
      </c>
      <c r="C11" s="48"/>
      <c r="D11" s="48"/>
      <c r="E11" s="56"/>
      <c r="F11" s="56"/>
      <c r="G11" s="56"/>
      <c r="H11" s="48" t="s">
        <v>241</v>
      </c>
      <c r="I11" s="48"/>
      <c r="J11" s="48"/>
      <c r="K11" s="56"/>
      <c r="L11" s="56"/>
      <c r="M11" s="56"/>
      <c r="N11" s="59" t="s">
        <v>39</v>
      </c>
      <c r="O11" s="60"/>
      <c r="P11" s="55" t="s">
        <v>226</v>
      </c>
      <c r="Q11" s="56" t="str" cm="1">
        <f t="array" ref="Q11">IF(M4="","",Q5&amp;"D10+"&amp;_xlfn.SWITCH(E11,"次级灵能",C8,"生化学科",D8,"预言学科",E8,"操火学科",F8,"遥感学科",G8,"传心学科",H8,"高阶秘仪",I8,"其他灵能",J8,P6+K4))</f>
        <v/>
      </c>
      <c r="R11" s="56"/>
      <c r="S11" s="56"/>
      <c r="T11" s="43"/>
    </row>
    <row r="12" customHeight="1" spans="1:26">
      <c r="A12" s="43"/>
      <c r="B12" s="48"/>
      <c r="C12" s="48"/>
      <c r="D12" s="48"/>
      <c r="E12" s="56"/>
      <c r="F12" s="56"/>
      <c r="G12" s="56"/>
      <c r="H12" s="48"/>
      <c r="I12" s="48"/>
      <c r="J12" s="48"/>
      <c r="K12" s="56"/>
      <c r="L12" s="56"/>
      <c r="M12" s="56"/>
      <c r="N12" s="61"/>
      <c r="O12" s="62"/>
      <c r="P12" s="55" t="s">
        <v>227</v>
      </c>
      <c r="Q12" s="63" t="str" cm="1">
        <f t="array" ref="Q12">IF(M4="","",R5&amp;"D10+"&amp;_xlfn.SWITCH(E11,"次级灵能",C8,"生化学科",D8,"预言学科",E8,"操火学科",F8,"遥感学科",G8,"传心学科",H8,"高阶秘仪",I8,"其他灵能",J8,P6+K4))</f>
        <v/>
      </c>
      <c r="R12" s="56"/>
      <c r="S12" s="56"/>
      <c r="T12" s="43"/>
    </row>
    <row r="13" customHeight="1" spans="1:26">
      <c r="A13" s="43"/>
      <c r="B13" s="48"/>
      <c r="C13" s="48"/>
      <c r="D13" s="48"/>
      <c r="E13" s="56"/>
      <c r="F13" s="56"/>
      <c r="G13" s="56"/>
      <c r="H13" s="48"/>
      <c r="I13" s="48"/>
      <c r="J13" s="48"/>
      <c r="K13" s="56"/>
      <c r="L13" s="56"/>
      <c r="M13" s="56"/>
      <c r="N13" s="64"/>
      <c r="O13" s="65"/>
      <c r="P13" s="55" t="s">
        <v>228</v>
      </c>
      <c r="Q13" s="56" t="str" cm="1">
        <f t="array" ref="Q13">IF(M4="","",S5&amp;"D10+"&amp;_xlfn.SWITCH(E11,"次级灵能",C8,"生化学科",D8,"预言学科",E8,"操火学科",F8,"遥感学科",G8,"传心学科",H8,"高阶秘仪",I8,"其他灵能",J8,P6+K4))</f>
        <v/>
      </c>
      <c r="R13" s="56"/>
      <c r="S13" s="56"/>
      <c r="T13" s="43"/>
    </row>
    <row r="14" customHeight="1" spans="1:26">
      <c r="A14" s="43"/>
      <c r="B14" s="66" t="s">
        <v>242</v>
      </c>
      <c r="C14" s="66"/>
      <c r="D14" s="66"/>
      <c r="E14" s="66"/>
      <c r="F14" s="66"/>
      <c r="G14" s="66"/>
      <c r="H14" s="66"/>
      <c r="I14" s="66"/>
      <c r="J14" s="66"/>
      <c r="K14" s="66"/>
      <c r="L14" s="66"/>
      <c r="M14" s="66"/>
      <c r="N14" s="66"/>
      <c r="O14" s="66"/>
      <c r="P14" s="66"/>
      <c r="Q14" s="66"/>
      <c r="R14" s="66"/>
      <c r="S14" s="66"/>
      <c r="T14" s="43"/>
    </row>
    <row r="15" customHeight="1" spans="1:26">
      <c r="A15" s="43"/>
      <c r="B15" s="57" t="s">
        <v>243</v>
      </c>
      <c r="C15" s="58"/>
      <c r="D15" s="58"/>
      <c r="E15" s="58"/>
      <c r="F15" s="58"/>
      <c r="G15" s="58"/>
      <c r="H15" s="58"/>
      <c r="I15" s="58"/>
      <c r="J15" s="58"/>
      <c r="K15" s="58"/>
      <c r="L15" s="58"/>
      <c r="M15" s="58"/>
      <c r="N15" s="58"/>
      <c r="O15" s="58"/>
      <c r="P15" s="58"/>
      <c r="Q15" s="58"/>
      <c r="R15" s="58"/>
      <c r="S15" s="58"/>
      <c r="T15" s="43"/>
    </row>
    <row r="16" customHeight="1" spans="1:26">
      <c r="A16" s="43"/>
      <c r="B16" s="49" t="s">
        <v>241</v>
      </c>
      <c r="C16" s="50"/>
      <c r="D16" s="51"/>
      <c r="E16" s="49" t="s">
        <v>240</v>
      </c>
      <c r="F16" s="50"/>
      <c r="G16" s="51"/>
      <c r="H16" s="49" t="s">
        <v>244</v>
      </c>
      <c r="I16" s="50"/>
      <c r="J16" s="51"/>
      <c r="K16" s="49" t="s">
        <v>245</v>
      </c>
      <c r="L16" s="50"/>
      <c r="M16" s="51"/>
      <c r="N16" s="49" t="s">
        <v>246</v>
      </c>
      <c r="O16" s="50"/>
      <c r="P16" s="51"/>
      <c r="Q16" s="49" t="s">
        <v>247</v>
      </c>
      <c r="R16" s="50"/>
      <c r="S16" s="51"/>
      <c r="T16" s="43"/>
    </row>
    <row r="17" customHeight="1" spans="1:20">
      <c r="A17" s="43"/>
      <c r="B17" s="67" t="str">
        <f>IFERROR(VLOOKUP(K11,灵能表[],1,0),"")</f>
        <v/>
      </c>
      <c r="C17" s="67"/>
      <c r="D17" s="67"/>
      <c r="E17" s="67" t="str">
        <f>IFERROR(VLOOKUP(K11,灵能表[],2,0),"")</f>
        <v/>
      </c>
      <c r="F17" s="67"/>
      <c r="G17" s="67"/>
      <c r="H17" s="67" t="str">
        <f>IFERROR(VLOOKUP(K11,灵能表[],3,0),"")</f>
        <v/>
      </c>
      <c r="I17" s="67"/>
      <c r="J17" s="67"/>
      <c r="K17" s="67" t="str">
        <f>IFERROR(VLOOKUP(K11,灵能表[],4,0),"")</f>
        <v/>
      </c>
      <c r="L17" s="67"/>
      <c r="M17" s="67"/>
      <c r="N17" s="67" t="str">
        <f>IFERROR(VLOOKUP(K11,灵能表[],5,0),"")</f>
        <v/>
      </c>
      <c r="O17" s="67"/>
      <c r="P17" s="67"/>
      <c r="Q17" s="67" t="str">
        <f>IFERROR(VLOOKUP(K11,灵能表[],6,0),"")</f>
        <v/>
      </c>
      <c r="R17" s="67"/>
      <c r="S17" s="67"/>
      <c r="T17" s="43"/>
    </row>
    <row r="18" customHeight="1" spans="1:20">
      <c r="A18" s="43"/>
      <c r="B18" s="68" t="str">
        <f>IFERROR(VLOOKUP(K11,灵能表[],7,0),"")</f>
        <v/>
      </c>
      <c r="C18" s="68"/>
      <c r="D18" s="68"/>
      <c r="E18" s="68"/>
      <c r="F18" s="68"/>
      <c r="G18" s="68"/>
      <c r="H18" s="68"/>
      <c r="I18" s="68"/>
      <c r="J18" s="68"/>
      <c r="K18" s="68"/>
      <c r="L18" s="68"/>
      <c r="M18" s="68"/>
      <c r="N18" s="68"/>
      <c r="O18" s="68"/>
      <c r="P18" s="68"/>
      <c r="Q18" s="68"/>
      <c r="R18" s="68"/>
      <c r="S18" s="68"/>
      <c r="T18" s="43"/>
    </row>
    <row r="19" customHeight="1" spans="1:20">
      <c r="A19" s="43"/>
      <c r="B19" s="68"/>
      <c r="C19" s="68"/>
      <c r="D19" s="68"/>
      <c r="E19" s="68"/>
      <c r="F19" s="68"/>
      <c r="G19" s="68"/>
      <c r="H19" s="68"/>
      <c r="I19" s="68"/>
      <c r="J19" s="68"/>
      <c r="K19" s="68"/>
      <c r="L19" s="68"/>
      <c r="M19" s="68"/>
      <c r="N19" s="68"/>
      <c r="O19" s="68"/>
      <c r="P19" s="68"/>
      <c r="Q19" s="68"/>
      <c r="R19" s="68"/>
      <c r="S19" s="68"/>
      <c r="T19" s="43"/>
    </row>
    <row r="20" customHeight="1" spans="1:20">
      <c r="A20" s="43"/>
      <c r="B20" s="68"/>
      <c r="C20" s="68"/>
      <c r="D20" s="68"/>
      <c r="E20" s="68"/>
      <c r="F20" s="68"/>
      <c r="G20" s="68"/>
      <c r="H20" s="68"/>
      <c r="I20" s="68"/>
      <c r="J20" s="68"/>
      <c r="K20" s="68"/>
      <c r="L20" s="68"/>
      <c r="M20" s="68"/>
      <c r="N20" s="68"/>
      <c r="O20" s="68"/>
      <c r="P20" s="68"/>
      <c r="Q20" s="68"/>
      <c r="R20" s="68"/>
      <c r="S20" s="68"/>
      <c r="T20" s="43"/>
    </row>
    <row r="21" customHeight="1" spans="1:20">
      <c r="A21" s="43"/>
      <c r="B21" s="68"/>
      <c r="C21" s="68"/>
      <c r="D21" s="68"/>
      <c r="E21" s="68"/>
      <c r="F21" s="68"/>
      <c r="G21" s="68"/>
      <c r="H21" s="68"/>
      <c r="I21" s="68"/>
      <c r="J21" s="68"/>
      <c r="K21" s="68"/>
      <c r="L21" s="68"/>
      <c r="M21" s="68"/>
      <c r="N21" s="68"/>
      <c r="O21" s="68"/>
      <c r="P21" s="68"/>
      <c r="Q21" s="68"/>
      <c r="R21" s="68"/>
      <c r="S21" s="68"/>
      <c r="T21" s="43"/>
    </row>
    <row r="22" customHeight="1" spans="1:20">
      <c r="A22" s="43"/>
      <c r="B22" s="68"/>
      <c r="C22" s="68"/>
      <c r="D22" s="68"/>
      <c r="E22" s="68"/>
      <c r="F22" s="68"/>
      <c r="G22" s="68"/>
      <c r="H22" s="68"/>
      <c r="I22" s="68"/>
      <c r="J22" s="68"/>
      <c r="K22" s="68"/>
      <c r="L22" s="68"/>
      <c r="M22" s="68"/>
      <c r="N22" s="68"/>
      <c r="O22" s="68"/>
      <c r="P22" s="68"/>
      <c r="Q22" s="68"/>
      <c r="R22" s="68"/>
      <c r="S22" s="68"/>
      <c r="T22" s="43"/>
    </row>
    <row r="23" customHeight="1" spans="1:20">
      <c r="A23" s="43"/>
      <c r="B23" s="68"/>
      <c r="C23" s="68"/>
      <c r="D23" s="68"/>
      <c r="E23" s="68"/>
      <c r="F23" s="68"/>
      <c r="G23" s="68"/>
      <c r="H23" s="68"/>
      <c r="I23" s="68"/>
      <c r="J23" s="68"/>
      <c r="K23" s="68"/>
      <c r="L23" s="68"/>
      <c r="M23" s="68"/>
      <c r="N23" s="68"/>
      <c r="O23" s="68"/>
      <c r="P23" s="68"/>
      <c r="Q23" s="68"/>
      <c r="R23" s="68"/>
      <c r="S23" s="68"/>
      <c r="T23" s="43"/>
    </row>
    <row r="24" customHeight="1" spans="1:20">
      <c r="A24" s="43"/>
      <c r="B24" s="68"/>
      <c r="C24" s="68"/>
      <c r="D24" s="68"/>
      <c r="E24" s="68"/>
      <c r="F24" s="68"/>
      <c r="G24" s="68"/>
      <c r="H24" s="68"/>
      <c r="I24" s="68"/>
      <c r="J24" s="68"/>
      <c r="K24" s="68"/>
      <c r="L24" s="68"/>
      <c r="M24" s="68"/>
      <c r="N24" s="68"/>
      <c r="O24" s="68"/>
      <c r="P24" s="68"/>
      <c r="Q24" s="68"/>
      <c r="R24" s="68"/>
      <c r="S24" s="68"/>
      <c r="T24" s="43"/>
    </row>
    <row r="25" customHeight="1" spans="1:20">
      <c r="A25" s="43"/>
      <c r="B25" s="68"/>
      <c r="C25" s="68"/>
      <c r="D25" s="68"/>
      <c r="E25" s="68"/>
      <c r="F25" s="68"/>
      <c r="G25" s="68"/>
      <c r="H25" s="68"/>
      <c r="I25" s="68"/>
      <c r="J25" s="68"/>
      <c r="K25" s="68"/>
      <c r="L25" s="68"/>
      <c r="M25" s="68"/>
      <c r="N25" s="68"/>
      <c r="O25" s="68"/>
      <c r="P25" s="68"/>
      <c r="Q25" s="68"/>
      <c r="R25" s="68"/>
      <c r="S25" s="68"/>
      <c r="T25" s="43"/>
    </row>
    <row r="26" customHeight="1" spans="1:20">
      <c r="A26" s="43"/>
      <c r="B26" s="68"/>
      <c r="C26" s="68"/>
      <c r="D26" s="68"/>
      <c r="E26" s="68"/>
      <c r="F26" s="68"/>
      <c r="G26" s="68"/>
      <c r="H26" s="68"/>
      <c r="I26" s="68"/>
      <c r="J26" s="68"/>
      <c r="K26" s="68"/>
      <c r="L26" s="68"/>
      <c r="M26" s="68"/>
      <c r="N26" s="68"/>
      <c r="O26" s="68"/>
      <c r="P26" s="68"/>
      <c r="Q26" s="68"/>
      <c r="R26" s="68"/>
      <c r="S26" s="68"/>
      <c r="T26" s="43"/>
    </row>
    <row r="27" customHeight="1" spans="1:20">
      <c r="A27" s="43"/>
      <c r="B27" s="68"/>
      <c r="C27" s="68"/>
      <c r="D27" s="68"/>
      <c r="E27" s="68"/>
      <c r="F27" s="68"/>
      <c r="G27" s="68"/>
      <c r="H27" s="68"/>
      <c r="I27" s="68"/>
      <c r="J27" s="68"/>
      <c r="K27" s="68"/>
      <c r="L27" s="68"/>
      <c r="M27" s="68"/>
      <c r="N27" s="68"/>
      <c r="O27" s="68"/>
      <c r="P27" s="68"/>
      <c r="Q27" s="68"/>
      <c r="R27" s="68"/>
      <c r="S27" s="68"/>
      <c r="T27" s="43"/>
    </row>
    <row r="28" customHeight="1" spans="1:20">
      <c r="A28" s="43"/>
      <c r="B28" s="68"/>
      <c r="C28" s="68"/>
      <c r="D28" s="68"/>
      <c r="E28" s="68"/>
      <c r="F28" s="68"/>
      <c r="G28" s="68"/>
      <c r="H28" s="68"/>
      <c r="I28" s="68"/>
      <c r="J28" s="68"/>
      <c r="K28" s="68"/>
      <c r="L28" s="68"/>
      <c r="M28" s="68"/>
      <c r="N28" s="68"/>
      <c r="O28" s="68"/>
      <c r="P28" s="68"/>
      <c r="Q28" s="68"/>
      <c r="R28" s="68"/>
      <c r="S28" s="68"/>
      <c r="T28" s="43"/>
    </row>
    <row r="29" customHeight="1" spans="1:20">
      <c r="A29" s="43"/>
      <c r="B29" s="68"/>
      <c r="C29" s="68"/>
      <c r="D29" s="68"/>
      <c r="E29" s="68"/>
      <c r="F29" s="68"/>
      <c r="G29" s="68"/>
      <c r="H29" s="68"/>
      <c r="I29" s="68"/>
      <c r="J29" s="68"/>
      <c r="K29" s="68"/>
      <c r="L29" s="68"/>
      <c r="M29" s="68"/>
      <c r="N29" s="68"/>
      <c r="O29" s="68"/>
      <c r="P29" s="68"/>
      <c r="Q29" s="68"/>
      <c r="R29" s="68"/>
      <c r="S29" s="68"/>
      <c r="T29" s="43"/>
    </row>
    <row r="30" customHeight="1" spans="1:20">
      <c r="A30" s="43"/>
      <c r="B30" s="59" t="s">
        <v>248</v>
      </c>
      <c r="C30" s="69"/>
      <c r="D30" s="60"/>
      <c r="E30" s="70" t="str">
        <f>IFERROR(VLOOKUP(K11,灵能表[],8,0),"")</f>
        <v/>
      </c>
      <c r="F30" s="70"/>
      <c r="G30" s="70"/>
      <c r="H30" s="70"/>
      <c r="I30" s="70"/>
      <c r="J30" s="70"/>
      <c r="K30" s="70"/>
      <c r="L30" s="70"/>
      <c r="M30" s="70"/>
      <c r="N30" s="70"/>
      <c r="O30" s="70"/>
      <c r="P30" s="70"/>
      <c r="Q30" s="70"/>
      <c r="R30" s="70"/>
      <c r="S30" s="70"/>
      <c r="T30" s="43"/>
    </row>
    <row r="31" customHeight="1" spans="1:20">
      <c r="A31" s="43"/>
      <c r="B31" s="61"/>
      <c r="C31" s="71"/>
      <c r="D31" s="62"/>
      <c r="E31" s="70"/>
      <c r="F31" s="70"/>
      <c r="G31" s="70"/>
      <c r="H31" s="70"/>
      <c r="I31" s="70"/>
      <c r="J31" s="70"/>
      <c r="K31" s="70"/>
      <c r="L31" s="70"/>
      <c r="M31" s="70"/>
      <c r="N31" s="70"/>
      <c r="O31" s="70"/>
      <c r="P31" s="70"/>
      <c r="Q31" s="70"/>
      <c r="R31" s="70"/>
      <c r="S31" s="70"/>
      <c r="T31" s="43"/>
    </row>
    <row r="32" customHeight="1" spans="1:20">
      <c r="A32" s="43"/>
      <c r="B32" s="61"/>
      <c r="C32" s="71"/>
      <c r="D32" s="62"/>
      <c r="E32" s="70"/>
      <c r="F32" s="70"/>
      <c r="G32" s="70"/>
      <c r="H32" s="70"/>
      <c r="I32" s="70"/>
      <c r="J32" s="70"/>
      <c r="K32" s="70"/>
      <c r="L32" s="70"/>
      <c r="M32" s="70"/>
      <c r="N32" s="70"/>
      <c r="O32" s="70"/>
      <c r="P32" s="70"/>
      <c r="Q32" s="70"/>
      <c r="R32" s="70"/>
      <c r="S32" s="70"/>
      <c r="T32" s="43"/>
    </row>
    <row r="33" customHeight="1" spans="1:23">
      <c r="A33" s="43"/>
      <c r="B33" s="64"/>
      <c r="C33" s="72"/>
      <c r="D33" s="65"/>
      <c r="E33" s="70"/>
      <c r="F33" s="70"/>
      <c r="G33" s="70"/>
      <c r="H33" s="70"/>
      <c r="I33" s="70"/>
      <c r="J33" s="70"/>
      <c r="K33" s="70"/>
      <c r="L33" s="70"/>
      <c r="M33" s="70"/>
      <c r="N33" s="70"/>
      <c r="O33" s="70"/>
      <c r="P33" s="70"/>
      <c r="Q33" s="70"/>
      <c r="R33" s="70"/>
      <c r="S33" s="70"/>
      <c r="T33" s="43"/>
    </row>
    <row r="34" customHeight="1" spans="1:23">
      <c r="A34" s="43"/>
      <c r="B34" s="43"/>
      <c r="C34" s="43"/>
      <c r="D34" s="43"/>
      <c r="E34" s="43"/>
      <c r="F34" s="43"/>
      <c r="G34" s="43"/>
      <c r="H34" s="43"/>
      <c r="I34" s="43"/>
      <c r="J34" s="43"/>
      <c r="K34" s="43"/>
      <c r="L34" s="43"/>
      <c r="M34" s="43"/>
      <c r="N34" s="43"/>
      <c r="O34" s="43"/>
      <c r="P34" s="43"/>
      <c r="Q34" s="43"/>
      <c r="R34" s="43"/>
      <c r="S34" s="43"/>
      <c r="T34" s="43"/>
      <c r="W34"/>
    </row>
    <row r="35" customHeight="1" spans="1:23">
      <c r="A35" s="43"/>
      <c r="B35" s="44" t="s">
        <v>249</v>
      </c>
      <c r="C35" s="44"/>
      <c r="D35" s="44"/>
      <c r="E35" s="44"/>
      <c r="F35" s="44"/>
      <c r="G35" s="44"/>
      <c r="H35" s="44"/>
      <c r="I35" s="44"/>
      <c r="J35" s="44"/>
      <c r="K35" s="44"/>
      <c r="L35" s="44"/>
      <c r="M35" s="44"/>
      <c r="N35" s="44"/>
      <c r="O35" s="44"/>
      <c r="P35" s="44"/>
      <c r="Q35" s="44"/>
      <c r="R35" s="44"/>
      <c r="S35" s="44"/>
      <c r="T35" s="43"/>
      <c r="W35"/>
    </row>
    <row r="36" customHeight="1" spans="1:23">
      <c r="A36" s="43"/>
      <c r="B36" s="48" t="s">
        <v>250</v>
      </c>
      <c r="C36" s="48"/>
      <c r="D36" s="48"/>
      <c r="E36" s="48"/>
      <c r="F36" s="48"/>
      <c r="G36" s="48"/>
      <c r="H36" s="48"/>
      <c r="I36" s="48"/>
      <c r="J36" s="48"/>
      <c r="K36" s="48"/>
      <c r="L36" s="48"/>
      <c r="M36" s="48"/>
      <c r="N36" s="48"/>
      <c r="O36" s="48"/>
      <c r="P36" s="48"/>
      <c r="Q36" s="48"/>
      <c r="R36" s="48"/>
      <c r="S36" s="48"/>
      <c r="T36" s="43"/>
      <c r="W36"/>
    </row>
    <row r="37" customHeight="1" spans="1:23">
      <c r="A37" s="43"/>
      <c r="B37" s="73"/>
      <c r="C37" s="73"/>
      <c r="D37" s="73"/>
      <c r="E37" s="73"/>
      <c r="F37" s="73"/>
      <c r="G37" s="73"/>
      <c r="H37" s="73"/>
      <c r="I37" s="73"/>
      <c r="J37" s="73"/>
      <c r="K37" s="73"/>
      <c r="L37" s="73"/>
      <c r="M37" s="73"/>
      <c r="N37" s="73"/>
      <c r="O37" s="73"/>
      <c r="P37" s="73"/>
      <c r="Q37" s="73"/>
      <c r="R37" s="73"/>
      <c r="S37" s="73"/>
      <c r="T37" s="43"/>
      <c r="W37"/>
    </row>
    <row r="38" customHeight="1" spans="1:23">
      <c r="A38" s="43"/>
      <c r="B38" s="55"/>
      <c r="C38" s="55"/>
      <c r="D38" s="55"/>
      <c r="E38" s="55"/>
      <c r="F38" s="55"/>
      <c r="G38" s="55"/>
      <c r="H38" s="55"/>
      <c r="I38" s="55"/>
      <c r="J38" s="55"/>
      <c r="K38" s="55"/>
      <c r="L38" s="55"/>
      <c r="M38" s="55"/>
      <c r="N38" s="55"/>
      <c r="O38" s="55"/>
      <c r="P38" s="55"/>
      <c r="Q38" s="55"/>
      <c r="R38" s="55"/>
      <c r="S38" s="55"/>
      <c r="T38" s="43"/>
      <c r="W38"/>
    </row>
    <row r="39" customHeight="1" spans="1:23">
      <c r="A39" s="43"/>
      <c r="B39" s="73"/>
      <c r="C39" s="73"/>
      <c r="D39" s="73"/>
      <c r="E39" s="73"/>
      <c r="F39" s="73"/>
      <c r="G39" s="73"/>
      <c r="H39" s="73"/>
      <c r="I39" s="73"/>
      <c r="J39" s="73"/>
      <c r="K39" s="73"/>
      <c r="L39" s="73"/>
      <c r="M39" s="73"/>
      <c r="N39" s="73"/>
      <c r="O39" s="73"/>
      <c r="P39" s="73"/>
      <c r="Q39" s="73"/>
      <c r="R39" s="73"/>
      <c r="S39" s="73"/>
      <c r="T39" s="43"/>
      <c r="W39"/>
    </row>
    <row r="40" customHeight="1" spans="1:23">
      <c r="A40" s="43"/>
      <c r="B40" s="55"/>
      <c r="C40" s="55"/>
      <c r="D40" s="55"/>
      <c r="E40" s="55"/>
      <c r="F40" s="55"/>
      <c r="G40" s="55"/>
      <c r="H40" s="55"/>
      <c r="I40" s="55"/>
      <c r="J40" s="55"/>
      <c r="K40" s="55"/>
      <c r="L40" s="55"/>
      <c r="M40" s="55"/>
      <c r="N40" s="55"/>
      <c r="O40" s="55"/>
      <c r="P40" s="55"/>
      <c r="Q40" s="55"/>
      <c r="R40" s="55"/>
      <c r="S40" s="55"/>
      <c r="T40" s="43"/>
      <c r="W40"/>
    </row>
    <row r="41" customHeight="1" spans="1:23">
      <c r="A41" s="43"/>
      <c r="B41" s="73"/>
      <c r="C41" s="73"/>
      <c r="D41" s="73"/>
      <c r="E41" s="73"/>
      <c r="F41" s="73"/>
      <c r="G41" s="73"/>
      <c r="H41" s="73"/>
      <c r="I41" s="73"/>
      <c r="J41" s="73"/>
      <c r="K41" s="73"/>
      <c r="L41" s="73"/>
      <c r="M41" s="73"/>
      <c r="N41" s="73"/>
      <c r="O41" s="73"/>
      <c r="P41" s="73"/>
      <c r="Q41" s="73"/>
      <c r="R41" s="73"/>
      <c r="S41" s="73"/>
      <c r="T41" s="43"/>
    </row>
    <row r="42" customHeight="1" spans="1:23">
      <c r="A42" s="43"/>
      <c r="B42" s="55"/>
      <c r="C42" s="55"/>
      <c r="D42" s="55"/>
      <c r="E42" s="55"/>
      <c r="F42" s="55"/>
      <c r="G42" s="55"/>
      <c r="H42" s="55"/>
      <c r="I42" s="55"/>
      <c r="J42" s="55"/>
      <c r="K42" s="55"/>
      <c r="L42" s="55"/>
      <c r="M42" s="55"/>
      <c r="N42" s="55"/>
      <c r="O42" s="55"/>
      <c r="P42" s="55"/>
      <c r="Q42" s="55"/>
      <c r="R42" s="55"/>
      <c r="S42" s="55"/>
      <c r="T42" s="43"/>
    </row>
    <row r="43" customHeight="1" spans="1:23">
      <c r="A43" s="43"/>
      <c r="B43" s="48" t="s">
        <v>251</v>
      </c>
      <c r="C43" s="48"/>
      <c r="D43" s="48"/>
      <c r="E43" s="48"/>
      <c r="F43" s="48"/>
      <c r="G43" s="48"/>
      <c r="H43" s="48"/>
      <c r="I43" s="48"/>
      <c r="J43" s="48"/>
      <c r="K43" s="48"/>
      <c r="L43" s="48"/>
      <c r="M43" s="48"/>
      <c r="N43" s="48"/>
      <c r="O43" s="48"/>
      <c r="P43" s="48"/>
      <c r="Q43" s="48"/>
      <c r="R43" s="48"/>
      <c r="S43" s="48"/>
      <c r="T43" s="43"/>
    </row>
    <row r="44" customHeight="1" spans="1:23">
      <c r="A44" s="43"/>
      <c r="B44" s="73"/>
      <c r="C44" s="73"/>
      <c r="D44" s="73"/>
      <c r="E44" s="73"/>
      <c r="F44" s="73"/>
      <c r="G44" s="73"/>
      <c r="H44" s="73"/>
      <c r="I44" s="73"/>
      <c r="J44" s="73"/>
      <c r="K44" s="73"/>
      <c r="L44" s="73"/>
      <c r="M44" s="73"/>
      <c r="N44" s="73"/>
      <c r="O44" s="73"/>
      <c r="P44" s="73"/>
      <c r="Q44" s="73"/>
      <c r="R44" s="73"/>
      <c r="S44" s="73"/>
      <c r="T44" s="43"/>
    </row>
    <row r="45" customHeight="1" spans="1:23">
      <c r="A45" s="43"/>
      <c r="B45" s="55"/>
      <c r="C45" s="55"/>
      <c r="D45" s="55"/>
      <c r="E45" s="55"/>
      <c r="F45" s="55"/>
      <c r="G45" s="55"/>
      <c r="H45" s="55"/>
      <c r="I45" s="55"/>
      <c r="J45" s="55"/>
      <c r="K45" s="55"/>
      <c r="L45" s="55"/>
      <c r="M45" s="55"/>
      <c r="N45" s="55"/>
      <c r="O45" s="55"/>
      <c r="P45" s="55"/>
      <c r="Q45" s="55"/>
      <c r="R45" s="55"/>
      <c r="S45" s="55"/>
      <c r="T45" s="43"/>
    </row>
    <row r="46" customHeight="1" spans="1:23">
      <c r="A46" s="43"/>
      <c r="B46" s="44" t="s">
        <v>252</v>
      </c>
      <c r="C46" s="44"/>
      <c r="D46" s="44"/>
      <c r="E46" s="44"/>
      <c r="F46" s="44"/>
      <c r="G46" s="44"/>
      <c r="H46" s="44"/>
      <c r="I46" s="44"/>
      <c r="J46" s="44"/>
      <c r="K46" s="44"/>
      <c r="L46" s="44"/>
      <c r="M46" s="44"/>
      <c r="N46" s="44"/>
      <c r="O46" s="44"/>
      <c r="P46" s="44"/>
      <c r="Q46" s="44"/>
      <c r="R46" s="44"/>
      <c r="S46" s="44"/>
      <c r="T46" s="43"/>
    </row>
    <row r="47" customHeight="1" spans="1:23">
      <c r="A47" s="43"/>
      <c r="B47" s="48"/>
      <c r="C47" s="48"/>
      <c r="D47" s="48"/>
      <c r="E47" s="48"/>
      <c r="F47" s="48"/>
      <c r="G47" s="48"/>
      <c r="H47" s="48"/>
      <c r="I47" s="48"/>
      <c r="J47" s="48"/>
      <c r="K47" s="48"/>
      <c r="L47" s="48"/>
      <c r="M47" s="48"/>
      <c r="N47" s="48"/>
      <c r="O47" s="48"/>
      <c r="P47" s="48"/>
      <c r="Q47" s="48"/>
      <c r="R47" s="48"/>
      <c r="S47" s="48"/>
      <c r="T47" s="43"/>
    </row>
    <row r="48" customHeight="1" spans="1:23">
      <c r="A48" s="43"/>
      <c r="B48" s="73"/>
      <c r="C48" s="73"/>
      <c r="D48" s="73"/>
      <c r="E48" s="73"/>
      <c r="F48" s="73"/>
      <c r="G48" s="73"/>
      <c r="H48" s="73"/>
      <c r="I48" s="73"/>
      <c r="J48" s="73"/>
      <c r="K48" s="73"/>
      <c r="L48" s="73"/>
      <c r="M48" s="73"/>
      <c r="N48" s="73"/>
      <c r="O48" s="73"/>
      <c r="P48" s="73"/>
      <c r="Q48" s="73"/>
      <c r="R48" s="73"/>
      <c r="S48" s="73"/>
      <c r="T48" s="43"/>
    </row>
    <row r="49" customHeight="1" spans="1:20">
      <c r="A49" s="43"/>
      <c r="B49" s="55"/>
      <c r="C49" s="55"/>
      <c r="D49" s="55"/>
      <c r="E49" s="55"/>
      <c r="F49" s="55"/>
      <c r="G49" s="55"/>
      <c r="H49" s="55"/>
      <c r="I49" s="55"/>
      <c r="J49" s="55"/>
      <c r="K49" s="55"/>
      <c r="L49" s="55"/>
      <c r="M49" s="55"/>
      <c r="N49" s="55"/>
      <c r="O49" s="55"/>
      <c r="P49" s="55"/>
      <c r="Q49" s="55"/>
      <c r="R49" s="55"/>
      <c r="S49" s="55"/>
      <c r="T49" s="43"/>
    </row>
    <row r="50" customHeight="1" spans="1:20">
      <c r="A50" s="43"/>
      <c r="B50" s="73"/>
      <c r="C50" s="73"/>
      <c r="D50" s="73"/>
      <c r="E50" s="73"/>
      <c r="F50" s="73"/>
      <c r="G50" s="73"/>
      <c r="H50" s="73"/>
      <c r="I50" s="73"/>
      <c r="J50" s="73"/>
      <c r="K50" s="73"/>
      <c r="L50" s="73"/>
      <c r="M50" s="73"/>
      <c r="N50" s="73"/>
      <c r="O50" s="73"/>
      <c r="P50" s="73"/>
      <c r="Q50" s="73"/>
      <c r="R50" s="73"/>
      <c r="S50" s="73"/>
      <c r="T50" s="43"/>
    </row>
    <row r="51" customHeight="1" spans="1:20">
      <c r="A51" s="43"/>
      <c r="B51" s="55"/>
      <c r="C51" s="55"/>
      <c r="D51" s="55"/>
      <c r="E51" s="55"/>
      <c r="F51" s="55"/>
      <c r="G51" s="55"/>
      <c r="H51" s="55"/>
      <c r="I51" s="55"/>
      <c r="J51" s="55"/>
      <c r="K51" s="55"/>
      <c r="L51" s="55"/>
      <c r="M51" s="55"/>
      <c r="N51" s="55"/>
      <c r="O51" s="55"/>
      <c r="P51" s="55"/>
      <c r="Q51" s="55"/>
      <c r="R51" s="55"/>
      <c r="S51" s="55"/>
      <c r="T51" s="43"/>
    </row>
    <row r="52" customHeight="1" spans="1:20">
      <c r="A52" s="43"/>
      <c r="B52" s="48"/>
      <c r="C52" s="48"/>
      <c r="D52" s="48"/>
      <c r="E52" s="48"/>
      <c r="F52" s="48"/>
      <c r="G52" s="48"/>
      <c r="H52" s="48"/>
      <c r="I52" s="48"/>
      <c r="J52" s="48"/>
      <c r="K52" s="48"/>
      <c r="L52" s="48"/>
      <c r="M52" s="48"/>
      <c r="N52" s="48"/>
      <c r="O52" s="48"/>
      <c r="P52" s="48"/>
      <c r="Q52" s="48"/>
      <c r="R52" s="48"/>
      <c r="S52" s="48"/>
      <c r="T52" s="43"/>
    </row>
    <row r="53" customHeight="1" spans="1:20">
      <c r="A53" s="43"/>
      <c r="B53" s="73"/>
      <c r="C53" s="73"/>
      <c r="D53" s="73"/>
      <c r="E53" s="73"/>
      <c r="F53" s="73"/>
      <c r="G53" s="73"/>
      <c r="H53" s="73"/>
      <c r="I53" s="73"/>
      <c r="J53" s="73"/>
      <c r="K53" s="73"/>
      <c r="L53" s="73"/>
      <c r="M53" s="73"/>
      <c r="N53" s="73"/>
      <c r="O53" s="73"/>
      <c r="P53" s="73"/>
      <c r="Q53" s="73"/>
      <c r="R53" s="73"/>
      <c r="S53" s="73"/>
      <c r="T53" s="43"/>
    </row>
    <row r="54" customHeight="1" spans="1:20">
      <c r="A54" s="43"/>
      <c r="B54" s="55"/>
      <c r="C54" s="55"/>
      <c r="D54" s="55"/>
      <c r="E54" s="55"/>
      <c r="F54" s="55"/>
      <c r="G54" s="55"/>
      <c r="H54" s="55"/>
      <c r="I54" s="55"/>
      <c r="J54" s="55"/>
      <c r="K54" s="55"/>
      <c r="L54" s="55"/>
      <c r="M54" s="55"/>
      <c r="N54" s="55"/>
      <c r="O54" s="55"/>
      <c r="P54" s="55"/>
      <c r="Q54" s="55"/>
      <c r="R54" s="55"/>
      <c r="S54" s="55"/>
      <c r="T54" s="43"/>
    </row>
    <row r="55" customHeight="1" spans="1:20">
      <c r="A55" s="43"/>
      <c r="B55" s="73"/>
      <c r="C55" s="73"/>
      <c r="D55" s="73"/>
      <c r="E55" s="73"/>
      <c r="F55" s="73"/>
      <c r="G55" s="73"/>
      <c r="H55" s="73"/>
      <c r="I55" s="73"/>
      <c r="J55" s="73"/>
      <c r="K55" s="73"/>
      <c r="L55" s="73"/>
      <c r="M55" s="73"/>
      <c r="N55" s="73"/>
      <c r="O55" s="73"/>
      <c r="P55" s="73"/>
      <c r="Q55" s="73"/>
      <c r="R55" s="73"/>
      <c r="S55" s="73"/>
      <c r="T55" s="43"/>
    </row>
    <row r="56" customHeight="1" spans="1:20">
      <c r="A56" s="43"/>
      <c r="B56" s="55"/>
      <c r="C56" s="55"/>
      <c r="D56" s="55"/>
      <c r="E56" s="55"/>
      <c r="F56" s="55"/>
      <c r="G56" s="55"/>
      <c r="H56" s="55"/>
      <c r="I56" s="55"/>
      <c r="J56" s="55"/>
      <c r="K56" s="55"/>
      <c r="L56" s="55"/>
      <c r="M56" s="55"/>
      <c r="N56" s="55"/>
      <c r="O56" s="55"/>
      <c r="P56" s="55"/>
      <c r="Q56" s="55"/>
      <c r="R56" s="55"/>
      <c r="S56" s="55"/>
      <c r="T56" s="43"/>
    </row>
    <row r="57" customHeight="1" spans="1:20">
      <c r="A57" s="43"/>
      <c r="B57" s="44" t="s">
        <v>253</v>
      </c>
      <c r="C57" s="44"/>
      <c r="D57" s="44"/>
      <c r="E57" s="44"/>
      <c r="F57" s="44"/>
      <c r="G57" s="44"/>
      <c r="H57" s="44"/>
      <c r="I57" s="44"/>
      <c r="J57" s="44"/>
      <c r="K57" s="44"/>
      <c r="L57" s="44"/>
      <c r="M57" s="44"/>
      <c r="N57" s="44"/>
      <c r="O57" s="44"/>
      <c r="P57" s="44"/>
      <c r="Q57" s="44"/>
      <c r="R57" s="44"/>
      <c r="S57" s="44"/>
      <c r="T57" s="43"/>
    </row>
    <row r="58" customHeight="1" spans="1:20">
      <c r="A58" s="43"/>
      <c r="B58" s="48"/>
      <c r="C58" s="48"/>
      <c r="D58" s="48"/>
      <c r="E58" s="48"/>
      <c r="F58" s="48"/>
      <c r="G58" s="48"/>
      <c r="H58" s="48"/>
      <c r="I58" s="48"/>
      <c r="J58" s="48"/>
      <c r="K58" s="48"/>
      <c r="L58" s="48"/>
      <c r="M58" s="48"/>
      <c r="N58" s="48"/>
      <c r="O58" s="48"/>
      <c r="P58" s="48"/>
      <c r="Q58" s="48"/>
      <c r="R58" s="48"/>
      <c r="S58" s="48"/>
      <c r="T58" s="43"/>
    </row>
    <row r="59" customHeight="1" spans="1:20">
      <c r="A59" s="43"/>
      <c r="B59" s="73"/>
      <c r="C59" s="73"/>
      <c r="D59" s="73"/>
      <c r="E59" s="73"/>
      <c r="F59" s="73"/>
      <c r="G59" s="73"/>
      <c r="H59" s="73"/>
      <c r="I59" s="73"/>
      <c r="J59" s="73"/>
      <c r="K59" s="73"/>
      <c r="L59" s="73"/>
      <c r="M59" s="73"/>
      <c r="N59" s="73"/>
      <c r="O59" s="73"/>
      <c r="P59" s="73"/>
      <c r="Q59" s="73"/>
      <c r="R59" s="73"/>
      <c r="S59" s="73"/>
      <c r="T59" s="43"/>
    </row>
    <row r="60" customHeight="1" spans="1:20">
      <c r="A60" s="43"/>
      <c r="B60" s="55"/>
      <c r="C60" s="55"/>
      <c r="D60" s="55"/>
      <c r="E60" s="55"/>
      <c r="F60" s="55"/>
      <c r="G60" s="55"/>
      <c r="H60" s="55"/>
      <c r="I60" s="55"/>
      <c r="J60" s="55"/>
      <c r="K60" s="55"/>
      <c r="L60" s="55"/>
      <c r="M60" s="55"/>
      <c r="N60" s="55"/>
      <c r="O60" s="55"/>
      <c r="P60" s="55"/>
      <c r="Q60" s="55"/>
      <c r="R60" s="55"/>
      <c r="S60" s="55"/>
      <c r="T60" s="43"/>
    </row>
    <row r="61" customHeight="1" spans="1:20">
      <c r="A61" s="43"/>
      <c r="B61" s="73"/>
      <c r="C61" s="73"/>
      <c r="D61" s="73"/>
      <c r="E61" s="73"/>
      <c r="F61" s="73"/>
      <c r="G61" s="73"/>
      <c r="H61" s="73"/>
      <c r="I61" s="73"/>
      <c r="J61" s="73"/>
      <c r="K61" s="73"/>
      <c r="L61" s="73"/>
      <c r="M61" s="73"/>
      <c r="N61" s="73"/>
      <c r="O61" s="73"/>
      <c r="P61" s="73"/>
      <c r="Q61" s="73"/>
      <c r="R61" s="73"/>
      <c r="S61" s="73"/>
      <c r="T61" s="43"/>
    </row>
    <row r="62" customHeight="1" spans="1:20">
      <c r="A62" s="43"/>
      <c r="B62" s="55"/>
      <c r="C62" s="55"/>
      <c r="D62" s="55"/>
      <c r="E62" s="55"/>
      <c r="F62" s="55"/>
      <c r="G62" s="55"/>
      <c r="H62" s="55"/>
      <c r="I62" s="55"/>
      <c r="J62" s="55"/>
      <c r="K62" s="55"/>
      <c r="L62" s="55"/>
      <c r="M62" s="55"/>
      <c r="N62" s="55"/>
      <c r="O62" s="55"/>
      <c r="P62" s="55"/>
      <c r="Q62" s="55"/>
      <c r="R62" s="55"/>
      <c r="S62" s="55"/>
      <c r="T62" s="43"/>
    </row>
    <row r="63" customHeight="1" spans="1:20">
      <c r="A63" s="74"/>
      <c r="B63" s="74"/>
      <c r="C63" s="74"/>
      <c r="D63" s="74"/>
      <c r="E63" s="74"/>
      <c r="F63" s="74"/>
      <c r="G63" s="74"/>
      <c r="H63" s="74"/>
      <c r="I63" s="74"/>
      <c r="J63" s="74"/>
      <c r="K63" s="74"/>
      <c r="L63" s="74"/>
      <c r="M63" s="74"/>
      <c r="N63" s="74"/>
      <c r="O63" s="74"/>
      <c r="P63" s="74"/>
      <c r="Q63" s="74"/>
      <c r="R63" s="74"/>
      <c r="S63" s="74"/>
      <c r="T63" s="74"/>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39:D40"/>
    <mergeCell ref="E39:G40"/>
    <mergeCell ref="H39:J40"/>
    <mergeCell ref="K39:M40"/>
    <mergeCell ref="N39:P40"/>
    <mergeCell ref="Q39:S40"/>
    <mergeCell ref="B11:D13"/>
    <mergeCell ref="E11:G13"/>
    <mergeCell ref="H11:J13"/>
    <mergeCell ref="K11:M13"/>
    <mergeCell ref="N11:O13"/>
    <mergeCell ref="B37:D38"/>
    <mergeCell ref="E37:G38"/>
    <mergeCell ref="H37:J38"/>
    <mergeCell ref="K37:M38"/>
    <mergeCell ref="N37:P38"/>
    <mergeCell ref="Q37:S38"/>
    <mergeCell ref="B53:D54"/>
    <mergeCell ref="E53:G54"/>
    <mergeCell ref="H53:J54"/>
    <mergeCell ref="K53:M54"/>
    <mergeCell ref="N53:P54"/>
    <mergeCell ref="Q53:S54"/>
    <mergeCell ref="B48:D49"/>
    <mergeCell ref="E48:G49"/>
    <mergeCell ref="H48:J49"/>
    <mergeCell ref="K48:M49"/>
    <mergeCell ref="N48:P49"/>
    <mergeCell ref="Q48:S49"/>
    <mergeCell ref="B59:D60"/>
    <mergeCell ref="E59:G60"/>
    <mergeCell ref="H59:J60"/>
    <mergeCell ref="K59:M60"/>
    <mergeCell ref="N59:P60"/>
    <mergeCell ref="Q59:S60"/>
    <mergeCell ref="B18:S29"/>
    <mergeCell ref="B30:D33"/>
    <mergeCell ref="B41:D42"/>
    <mergeCell ref="E41:G42"/>
    <mergeCell ref="H41:J42"/>
    <mergeCell ref="K41:M42"/>
    <mergeCell ref="N41:P42"/>
    <mergeCell ref="Q41:S42"/>
    <mergeCell ref="B44:D45"/>
    <mergeCell ref="E44:G45"/>
    <mergeCell ref="H44:J45"/>
    <mergeCell ref="K44:M45"/>
    <mergeCell ref="N44:P45"/>
    <mergeCell ref="Q44:S45"/>
    <mergeCell ref="B55:D56"/>
    <mergeCell ref="E55:G56"/>
    <mergeCell ref="H55:J56"/>
    <mergeCell ref="K55:M56"/>
    <mergeCell ref="N55:P56"/>
    <mergeCell ref="Q55:S56"/>
    <mergeCell ref="B50:D51"/>
    <mergeCell ref="E50:G51"/>
    <mergeCell ref="H50:J51"/>
    <mergeCell ref="K50:M51"/>
    <mergeCell ref="N50:P51"/>
    <mergeCell ref="Q50:S51"/>
    <mergeCell ref="B61:D62"/>
    <mergeCell ref="E61:G62"/>
    <mergeCell ref="H61:J62"/>
    <mergeCell ref="K61:M62"/>
    <mergeCell ref="N61:P62"/>
    <mergeCell ref="Q61:S62"/>
    <mergeCell ref="E30:S33"/>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zoomScale="70" zoomScaleNormal="70" workbookViewId="0">
      <selection activeCell="E43" sqref="E43"/>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254</v>
      </c>
      <c r="C2" s="22"/>
      <c r="D2" s="22"/>
      <c r="E2" s="22"/>
      <c r="F2" s="22"/>
      <c r="G2" s="22"/>
      <c r="H2" s="22"/>
      <c r="I2" s="22"/>
      <c r="J2" s="22"/>
      <c r="K2" s="22"/>
      <c r="L2" s="22"/>
      <c r="M2" s="22"/>
      <c r="N2" s="22"/>
      <c r="O2" s="22"/>
      <c r="P2" s="22"/>
      <c r="Q2" s="22"/>
      <c r="R2" s="22"/>
      <c r="T2" s="23" t="s">
        <v>255</v>
      </c>
      <c r="U2" s="23"/>
      <c r="V2" s="23"/>
      <c r="W2" s="23"/>
      <c r="X2" s="23"/>
    </row>
    <row r="3" s="21" customFormat="1" customHeight="1" spans="2:24">
      <c r="B3" s="24" t="s">
        <v>256</v>
      </c>
      <c r="C3" s="24"/>
      <c r="D3" s="24"/>
      <c r="E3" s="24"/>
      <c r="F3" s="24"/>
      <c r="G3" s="24"/>
      <c r="H3" s="24"/>
      <c r="I3" s="24"/>
      <c r="J3" s="24"/>
      <c r="K3" s="24"/>
      <c r="L3" s="24"/>
      <c r="M3" s="24"/>
      <c r="N3" s="24"/>
      <c r="O3" s="24"/>
      <c r="P3" s="24"/>
      <c r="Q3" s="24"/>
      <c r="R3" s="24"/>
      <c r="T3" s="25" t="s">
        <v>257</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258</v>
      </c>
      <c r="U4" s="26"/>
      <c r="V4" s="26"/>
      <c r="W4" s="26"/>
      <c r="X4" s="26"/>
    </row>
    <row r="5" s="21" customFormat="1" customHeight="1" spans="2:24">
      <c r="B5" s="24"/>
      <c r="C5" s="24"/>
      <c r="D5" s="24"/>
      <c r="E5" s="24"/>
      <c r="F5" s="24"/>
      <c r="G5" s="24"/>
      <c r="H5" s="24"/>
      <c r="I5" s="24"/>
      <c r="J5" s="24"/>
      <c r="K5" s="24"/>
      <c r="L5" s="24"/>
      <c r="M5" s="24"/>
      <c r="N5" s="24"/>
      <c r="O5" s="24"/>
      <c r="P5" s="24"/>
      <c r="Q5" s="24"/>
      <c r="R5" s="24"/>
      <c r="T5" s="26" t="s">
        <v>259</v>
      </c>
      <c r="U5" s="26"/>
      <c r="V5" s="26"/>
      <c r="W5" s="26"/>
      <c r="X5" s="26"/>
    </row>
    <row r="6" s="21" customFormat="1" customHeight="1" spans="2:24">
      <c r="B6" s="27" t="str">
        <f>人物!A36</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7"/>
      <c r="D6" s="27"/>
      <c r="E6" s="27"/>
      <c r="F6" s="27"/>
      <c r="G6" s="27"/>
      <c r="H6" s="27"/>
      <c r="I6" s="27"/>
      <c r="J6" s="27"/>
      <c r="K6" s="27"/>
      <c r="L6" s="27"/>
      <c r="M6" s="27"/>
      <c r="N6" s="27"/>
      <c r="O6" s="28"/>
      <c r="P6" s="28"/>
      <c r="Q6" s="28"/>
      <c r="R6" s="28"/>
      <c r="T6" s="26" t="s">
        <v>260</v>
      </c>
      <c r="U6" s="26"/>
      <c r="V6" s="26"/>
      <c r="W6" s="26"/>
      <c r="X6" s="26"/>
    </row>
    <row r="7" s="21" customFormat="1" customHeight="1" spans="2:24">
      <c r="B7" s="27"/>
      <c r="C7" s="27"/>
      <c r="D7" s="27"/>
      <c r="E7" s="27"/>
      <c r="F7" s="27"/>
      <c r="G7" s="27"/>
      <c r="H7" s="27"/>
      <c r="I7" s="27"/>
      <c r="J7" s="27"/>
      <c r="K7" s="27"/>
      <c r="L7" s="27"/>
      <c r="M7" s="27"/>
      <c r="N7" s="27"/>
      <c r="O7" s="28"/>
      <c r="P7" s="28"/>
      <c r="Q7" s="28"/>
      <c r="R7" s="28"/>
      <c r="T7" s="26" t="s">
        <v>261</v>
      </c>
      <c r="U7" s="26"/>
      <c r="V7" s="26"/>
      <c r="W7" s="26"/>
      <c r="X7" s="26"/>
    </row>
    <row r="8" s="21" customFormat="1" customHeight="1" spans="2:24">
      <c r="B8" s="27"/>
      <c r="C8" s="27"/>
      <c r="D8" s="27"/>
      <c r="E8" s="27"/>
      <c r="F8" s="27"/>
      <c r="G8" s="27"/>
      <c r="H8" s="27"/>
      <c r="I8" s="27"/>
      <c r="J8" s="27"/>
      <c r="K8" s="27"/>
      <c r="L8" s="27"/>
      <c r="M8" s="27"/>
      <c r="N8" s="27"/>
      <c r="O8" s="28"/>
      <c r="P8" s="28"/>
      <c r="Q8" s="28"/>
      <c r="R8" s="28"/>
      <c r="T8" s="26" t="s">
        <v>262</v>
      </c>
      <c r="U8" s="26"/>
      <c r="V8" s="26"/>
      <c r="W8" s="26"/>
      <c r="X8" s="26"/>
    </row>
    <row r="9" s="21" customFormat="1" customHeight="1" spans="2:24">
      <c r="B9" s="27"/>
      <c r="C9" s="27"/>
      <c r="D9" s="27"/>
      <c r="E9" s="27"/>
      <c r="F9" s="27"/>
      <c r="G9" s="27"/>
      <c r="H9" s="27"/>
      <c r="I9" s="27"/>
      <c r="J9" s="27"/>
      <c r="K9" s="27"/>
      <c r="L9" s="27"/>
      <c r="M9" s="27"/>
      <c r="N9" s="27"/>
      <c r="O9" s="28"/>
      <c r="P9" s="28"/>
      <c r="Q9" s="28"/>
      <c r="R9" s="28"/>
      <c r="T9" s="26" t="s">
        <v>263</v>
      </c>
      <c r="U9" s="26"/>
      <c r="V9" s="26"/>
      <c r="W9" s="26"/>
      <c r="X9" s="26"/>
    </row>
    <row r="10" s="21" customFormat="1" customHeight="1" spans="2:24">
      <c r="B10" s="27"/>
      <c r="C10" s="27"/>
      <c r="D10" s="27"/>
      <c r="E10" s="27"/>
      <c r="F10" s="27"/>
      <c r="G10" s="27"/>
      <c r="H10" s="27"/>
      <c r="I10" s="27"/>
      <c r="J10" s="27"/>
      <c r="K10" s="27"/>
      <c r="L10" s="27"/>
      <c r="M10" s="27"/>
      <c r="N10" s="27"/>
      <c r="O10" s="28"/>
      <c r="P10" s="28"/>
      <c r="Q10" s="28"/>
      <c r="R10" s="28"/>
      <c r="T10" s="26" t="s">
        <v>264</v>
      </c>
      <c r="U10" s="26"/>
      <c r="V10" s="26"/>
      <c r="W10" s="26"/>
      <c r="X10" s="26"/>
    </row>
    <row r="11" s="21" customFormat="1" customHeight="1" spans="2:24">
      <c r="B11" s="27"/>
      <c r="C11" s="27"/>
      <c r="D11" s="27"/>
      <c r="E11" s="27"/>
      <c r="F11" s="27"/>
      <c r="G11" s="27"/>
      <c r="H11" s="27"/>
      <c r="I11" s="27"/>
      <c r="J11" s="27"/>
      <c r="K11" s="28"/>
      <c r="L11" s="28"/>
      <c r="M11" s="28"/>
      <c r="N11" s="28"/>
      <c r="O11" s="28"/>
      <c r="P11" s="28"/>
      <c r="Q11" s="28"/>
      <c r="R11" s="28"/>
    </row>
    <row r="12" s="21" customFormat="1" customHeight="1" spans="2:24">
      <c r="B12" s="22" t="s">
        <v>265</v>
      </c>
      <c r="C12" s="22"/>
      <c r="D12" s="22"/>
      <c r="E12" s="22"/>
      <c r="F12" s="22"/>
      <c r="G12" s="22"/>
      <c r="H12" s="22"/>
      <c r="I12" s="22"/>
      <c r="J12" s="22"/>
      <c r="K12" s="22"/>
      <c r="L12" s="22"/>
      <c r="M12" s="22"/>
      <c r="N12" s="22"/>
      <c r="O12" s="22"/>
      <c r="P12" s="22"/>
      <c r="Q12" s="22"/>
      <c r="R12" s="22"/>
    </row>
    <row r="20" s="21" customFormat="1" customHeight="1" spans="2:18">
      <c r="B20" s="23" t="s">
        <v>266</v>
      </c>
      <c r="C20" s="23"/>
      <c r="D20" s="23"/>
      <c r="E20" s="23"/>
      <c r="F20" s="23"/>
      <c r="G20" s="23"/>
      <c r="H20" s="23"/>
      <c r="I20" s="23"/>
      <c r="J20" s="23"/>
      <c r="K20" s="23"/>
      <c r="L20" s="23"/>
      <c r="M20" s="23"/>
      <c r="N20" s="23"/>
      <c r="O20" s="23"/>
      <c r="P20" s="23"/>
      <c r="Q20" s="23"/>
      <c r="R20" s="23"/>
    </row>
    <row r="21" s="21" customFormat="1" customHeight="1" spans="2:18">
      <c r="B21" s="29" t="s">
        <v>267</v>
      </c>
      <c r="C21" s="30"/>
      <c r="D21" s="31" t="s">
        <v>268</v>
      </c>
      <c r="E21" s="31"/>
      <c r="F21" s="31"/>
      <c r="G21" s="31"/>
      <c r="H21" s="31"/>
      <c r="I21" s="31"/>
      <c r="J21" s="31"/>
      <c r="K21" s="31"/>
      <c r="L21" s="31"/>
      <c r="M21" s="31"/>
      <c r="N21" s="31"/>
      <c r="O21" s="31"/>
      <c r="P21" s="31"/>
      <c r="Q21" s="31"/>
      <c r="R21" s="31"/>
    </row>
    <row r="22" s="21" customFormat="1" customHeight="1" spans="2:18">
      <c r="B22" s="32"/>
      <c r="C22" s="33"/>
      <c r="D22" s="31"/>
      <c r="E22" s="31"/>
      <c r="F22" s="31"/>
      <c r="G22" s="31"/>
      <c r="H22" s="31"/>
      <c r="I22" s="31"/>
      <c r="J22" s="31"/>
      <c r="K22" s="31"/>
      <c r="L22" s="31"/>
      <c r="M22" s="31"/>
      <c r="N22" s="31"/>
      <c r="O22" s="31"/>
      <c r="P22" s="31"/>
      <c r="Q22" s="31"/>
      <c r="R22" s="31"/>
    </row>
    <row r="23" s="21" customFormat="1" customHeight="1" spans="2:18">
      <c r="B23" s="29" t="s">
        <v>269</v>
      </c>
      <c r="C23" s="30"/>
      <c r="D23" s="31" t="s">
        <v>270</v>
      </c>
      <c r="E23" s="31"/>
      <c r="F23" s="31"/>
      <c r="G23" s="31"/>
      <c r="H23" s="31"/>
      <c r="I23" s="31"/>
      <c r="J23" s="31"/>
      <c r="K23" s="31"/>
      <c r="L23" s="31"/>
      <c r="M23" s="31"/>
      <c r="N23" s="31"/>
      <c r="O23" s="31"/>
      <c r="P23" s="31"/>
      <c r="Q23" s="31"/>
      <c r="R23" s="31"/>
    </row>
    <row r="24" s="21" customFormat="1" customHeight="1" spans="2:18">
      <c r="B24" s="32"/>
      <c r="C24" s="33"/>
      <c r="D24" s="31"/>
      <c r="E24" s="31"/>
      <c r="F24" s="31"/>
      <c r="G24" s="31"/>
      <c r="H24" s="31"/>
      <c r="I24" s="31"/>
      <c r="J24" s="31"/>
      <c r="K24" s="31"/>
      <c r="L24" s="31"/>
      <c r="M24" s="31"/>
      <c r="N24" s="31"/>
      <c r="O24" s="31"/>
      <c r="P24" s="31"/>
      <c r="Q24" s="31"/>
      <c r="R24" s="31"/>
    </row>
    <row r="25" s="21" customFormat="1" customHeight="1" spans="2:18">
      <c r="B25" s="34"/>
      <c r="C25" s="35"/>
      <c r="D25" s="31"/>
      <c r="E25" s="31"/>
      <c r="F25" s="31"/>
      <c r="G25" s="31"/>
      <c r="H25" s="31"/>
      <c r="I25" s="31"/>
      <c r="J25" s="31"/>
      <c r="K25" s="31"/>
      <c r="L25" s="31"/>
      <c r="M25" s="31"/>
      <c r="N25" s="31"/>
      <c r="O25" s="31"/>
      <c r="P25" s="31"/>
      <c r="Q25" s="31"/>
      <c r="R25" s="31"/>
    </row>
    <row r="26" s="21" customFormat="1" customHeight="1" spans="2:18">
      <c r="B26" s="29" t="s">
        <v>271</v>
      </c>
      <c r="C26" s="30"/>
      <c r="D26" s="31" t="s">
        <v>272</v>
      </c>
      <c r="E26" s="31"/>
      <c r="F26" s="31"/>
      <c r="G26" s="31"/>
      <c r="H26" s="31"/>
      <c r="I26" s="31"/>
      <c r="J26" s="31"/>
      <c r="K26" s="31"/>
      <c r="L26" s="31"/>
      <c r="M26" s="31"/>
      <c r="N26" s="31"/>
      <c r="O26" s="31"/>
      <c r="P26" s="31"/>
      <c r="Q26" s="31"/>
      <c r="R26" s="31"/>
    </row>
    <row r="27" s="21" customFormat="1" customHeight="1" spans="2:18">
      <c r="B27" s="32"/>
      <c r="C27" s="33"/>
      <c r="D27" s="31"/>
      <c r="E27" s="31"/>
      <c r="F27" s="31"/>
      <c r="G27" s="31"/>
      <c r="H27" s="31"/>
      <c r="I27" s="31"/>
      <c r="J27" s="31"/>
      <c r="K27" s="31"/>
      <c r="L27" s="31"/>
      <c r="M27" s="31"/>
      <c r="N27" s="31"/>
      <c r="O27" s="31"/>
      <c r="P27" s="31"/>
      <c r="Q27" s="31"/>
      <c r="R27" s="31"/>
    </row>
    <row r="28" s="21" customFormat="1" customHeight="1" spans="2:18">
      <c r="B28" s="34"/>
      <c r="C28" s="35"/>
      <c r="D28" s="31"/>
      <c r="E28" s="31"/>
      <c r="F28" s="31"/>
      <c r="G28" s="31"/>
      <c r="H28" s="31"/>
      <c r="I28" s="31"/>
      <c r="J28" s="31"/>
      <c r="K28" s="31"/>
      <c r="L28" s="31"/>
      <c r="M28" s="31"/>
      <c r="N28" s="31"/>
      <c r="O28" s="31"/>
      <c r="P28" s="31"/>
      <c r="Q28" s="31"/>
      <c r="R28" s="31"/>
    </row>
    <row r="29" customHeight="1" spans="2:18">
      <c r="B29" s="36" t="s">
        <v>273</v>
      </c>
      <c r="C29" s="37"/>
      <c r="D29" s="38" t="s">
        <v>274</v>
      </c>
      <c r="E29" s="39"/>
      <c r="F29" s="39"/>
      <c r="G29" s="39"/>
      <c r="H29" s="39"/>
      <c r="I29" s="39"/>
      <c r="J29" s="39"/>
      <c r="K29" s="39"/>
      <c r="L29" s="39"/>
      <c r="M29" s="39"/>
      <c r="N29" s="39"/>
      <c r="O29" s="39"/>
      <c r="P29" s="39"/>
      <c r="Q29" s="39"/>
      <c r="R29" s="40"/>
    </row>
  </sheetData>
  <sheetProtection formatCells="0" formatColumns="0" formatRows="0" insertRows="0" insertColumns="0" insertHyperlinks="0" deleteColumns="0" deleteRows="0" sort="0" autoFilter="0" pivotTables="0"/>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7"/>
  <sheetViews>
    <sheetView zoomScale="70" zoomScaleNormal="70" workbookViewId="0">
      <pane ySplit="2" topLeftCell="A30" activePane="bottomLeft" state="frozen"/>
      <selection/>
      <selection pane="bottomLeft" activeCell="B51" sqref="B51:I51"/>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241</v>
      </c>
      <c r="C2" s="16" t="s">
        <v>240</v>
      </c>
      <c r="D2" s="16" t="s">
        <v>244</v>
      </c>
      <c r="E2" s="16" t="s">
        <v>245</v>
      </c>
      <c r="F2" s="16" t="s">
        <v>246</v>
      </c>
      <c r="G2" s="16" t="s">
        <v>247</v>
      </c>
      <c r="H2" s="16" t="s">
        <v>275</v>
      </c>
      <c r="I2" s="16" t="s">
        <v>248</v>
      </c>
    </row>
    <row r="3" customHeight="1" spans="2:9">
      <c r="B3" s="17" t="s">
        <v>276</v>
      </c>
      <c r="C3" s="18" t="s">
        <v>250</v>
      </c>
      <c r="D3" s="19">
        <v>6</v>
      </c>
      <c r="E3" s="19" t="s">
        <v>277</v>
      </c>
      <c r="F3" s="19" t="s">
        <v>278</v>
      </c>
      <c r="G3" s="19" t="s">
        <v>279</v>
      </c>
      <c r="H3" s="19" t="s">
        <v>280</v>
      </c>
      <c r="I3" s="19" t="s">
        <v>281</v>
      </c>
    </row>
    <row r="4" customHeight="1" spans="2:9">
      <c r="B4" s="17" t="s">
        <v>282</v>
      </c>
      <c r="C4" s="18" t="s">
        <v>250</v>
      </c>
      <c r="D4" s="19">
        <v>8</v>
      </c>
      <c r="E4" s="19" t="s">
        <v>283</v>
      </c>
      <c r="F4" s="19" t="s">
        <v>101</v>
      </c>
      <c r="G4" s="19" t="s">
        <v>284</v>
      </c>
      <c r="H4" s="19" t="s">
        <v>285</v>
      </c>
      <c r="I4" s="19" t="s">
        <v>286</v>
      </c>
    </row>
    <row r="5" customHeight="1" spans="2:9">
      <c r="B5" s="17" t="s">
        <v>287</v>
      </c>
      <c r="C5" s="18" t="s">
        <v>250</v>
      </c>
      <c r="D5" s="19">
        <v>7</v>
      </c>
      <c r="E5" s="19" t="s">
        <v>283</v>
      </c>
      <c r="F5" s="19" t="s">
        <v>101</v>
      </c>
      <c r="G5" s="19" t="s">
        <v>288</v>
      </c>
      <c r="H5" s="19" t="s">
        <v>289</v>
      </c>
      <c r="I5" s="19" t="s">
        <v>290</v>
      </c>
    </row>
    <row r="6" customHeight="1" spans="2:9">
      <c r="B6" s="17" t="s">
        <v>291</v>
      </c>
      <c r="C6" s="18" t="s">
        <v>250</v>
      </c>
      <c r="D6" s="19">
        <v>8</v>
      </c>
      <c r="E6" s="19" t="s">
        <v>277</v>
      </c>
      <c r="F6" s="19" t="s">
        <v>101</v>
      </c>
      <c r="G6" s="19" t="s">
        <v>288</v>
      </c>
      <c r="H6" s="19" t="s">
        <v>292</v>
      </c>
      <c r="I6" s="19" t="s">
        <v>293</v>
      </c>
    </row>
    <row r="7" customHeight="1" spans="2:9">
      <c r="B7" s="17" t="s">
        <v>294</v>
      </c>
      <c r="C7" s="18" t="s">
        <v>250</v>
      </c>
      <c r="D7" s="19">
        <v>7</v>
      </c>
      <c r="E7" s="19" t="s">
        <v>277</v>
      </c>
      <c r="F7" s="19" t="s">
        <v>101</v>
      </c>
      <c r="G7" s="19" t="s">
        <v>284</v>
      </c>
      <c r="H7" s="19" t="s">
        <v>295</v>
      </c>
      <c r="I7" s="19" t="s">
        <v>281</v>
      </c>
    </row>
    <row r="8" customHeight="1" spans="2:9">
      <c r="B8" s="17" t="s">
        <v>296</v>
      </c>
      <c r="C8" s="18" t="s">
        <v>250</v>
      </c>
      <c r="D8" s="19">
        <v>5</v>
      </c>
      <c r="E8" s="19" t="s">
        <v>283</v>
      </c>
      <c r="F8" s="19" t="s">
        <v>278</v>
      </c>
      <c r="G8" s="19" t="s">
        <v>279</v>
      </c>
      <c r="H8" s="19" t="s">
        <v>297</v>
      </c>
      <c r="I8" s="19" t="s">
        <v>281</v>
      </c>
    </row>
    <row r="9" customHeight="1" spans="2:9">
      <c r="B9" s="17" t="s">
        <v>298</v>
      </c>
      <c r="C9" s="18" t="s">
        <v>250</v>
      </c>
      <c r="D9" s="19">
        <v>8</v>
      </c>
      <c r="E9" s="19" t="s">
        <v>277</v>
      </c>
      <c r="F9" s="19" t="s">
        <v>278</v>
      </c>
      <c r="G9" s="19" t="s">
        <v>284</v>
      </c>
      <c r="H9" s="19" t="s">
        <v>299</v>
      </c>
      <c r="I9" s="19" t="s">
        <v>300</v>
      </c>
    </row>
    <row r="10" customHeight="1" spans="2:9">
      <c r="B10" s="17" t="s">
        <v>301</v>
      </c>
      <c r="C10" s="18" t="s">
        <v>250</v>
      </c>
      <c r="D10" s="19">
        <v>6</v>
      </c>
      <c r="E10" s="19" t="s">
        <v>283</v>
      </c>
      <c r="F10" s="19" t="s">
        <v>101</v>
      </c>
      <c r="G10" s="19" t="s">
        <v>302</v>
      </c>
      <c r="H10" s="19" t="s">
        <v>303</v>
      </c>
      <c r="I10" s="19" t="s">
        <v>304</v>
      </c>
    </row>
    <row r="11" customHeight="1" spans="2:9">
      <c r="B11" s="17" t="s">
        <v>305</v>
      </c>
      <c r="C11" s="18" t="s">
        <v>250</v>
      </c>
      <c r="D11" s="19">
        <v>7</v>
      </c>
      <c r="E11" s="19" t="s">
        <v>283</v>
      </c>
      <c r="F11" s="19" t="s">
        <v>278</v>
      </c>
      <c r="G11" s="19" t="s">
        <v>279</v>
      </c>
      <c r="H11" s="19" t="s">
        <v>306</v>
      </c>
      <c r="I11" s="19" t="s">
        <v>281</v>
      </c>
    </row>
    <row r="12" customHeight="1" spans="2:9">
      <c r="B12" s="17" t="s">
        <v>307</v>
      </c>
      <c r="C12" s="18" t="s">
        <v>250</v>
      </c>
      <c r="D12" s="19">
        <v>6</v>
      </c>
      <c r="E12" s="19" t="s">
        <v>308</v>
      </c>
      <c r="F12" s="19" t="s">
        <v>101</v>
      </c>
      <c r="G12" s="19" t="s">
        <v>279</v>
      </c>
      <c r="H12" s="19" t="s">
        <v>309</v>
      </c>
      <c r="I12" s="19" t="s">
        <v>281</v>
      </c>
    </row>
    <row r="13" customHeight="1" spans="2:9">
      <c r="B13" s="17" t="s">
        <v>310</v>
      </c>
      <c r="C13" s="18" t="s">
        <v>250</v>
      </c>
      <c r="D13" s="19">
        <v>6</v>
      </c>
      <c r="E13" s="19" t="s">
        <v>277</v>
      </c>
      <c r="F13" s="19" t="s">
        <v>101</v>
      </c>
      <c r="G13" s="19" t="s">
        <v>311</v>
      </c>
      <c r="H13" s="19" t="s">
        <v>312</v>
      </c>
      <c r="I13" s="19" t="s">
        <v>313</v>
      </c>
    </row>
    <row r="14" customHeight="1" spans="2:9">
      <c r="B14" s="17" t="s">
        <v>314</v>
      </c>
      <c r="C14" s="18" t="s">
        <v>250</v>
      </c>
      <c r="D14" s="19">
        <v>8</v>
      </c>
      <c r="E14" s="19" t="s">
        <v>283</v>
      </c>
      <c r="F14" s="19" t="s">
        <v>101</v>
      </c>
      <c r="G14" s="19" t="s">
        <v>279</v>
      </c>
      <c r="H14" s="19" t="s">
        <v>315</v>
      </c>
      <c r="I14" s="19" t="s">
        <v>281</v>
      </c>
    </row>
    <row r="15" customHeight="1" spans="2:9">
      <c r="B15" s="17" t="s">
        <v>316</v>
      </c>
      <c r="C15" s="18" t="s">
        <v>250</v>
      </c>
      <c r="D15" s="19">
        <v>7</v>
      </c>
      <c r="E15" s="19" t="s">
        <v>283</v>
      </c>
      <c r="F15" s="19" t="s">
        <v>278</v>
      </c>
      <c r="G15" s="19" t="s">
        <v>288</v>
      </c>
      <c r="H15" s="19" t="s">
        <v>317</v>
      </c>
      <c r="I15" s="19" t="s">
        <v>318</v>
      </c>
    </row>
    <row r="16" customHeight="1" spans="2:9">
      <c r="B16" s="17" t="s">
        <v>319</v>
      </c>
      <c r="C16" s="18" t="s">
        <v>250</v>
      </c>
      <c r="D16" s="19">
        <v>5</v>
      </c>
      <c r="E16" s="19" t="s">
        <v>283</v>
      </c>
      <c r="F16" s="19" t="s">
        <v>278</v>
      </c>
      <c r="G16" s="19" t="s">
        <v>279</v>
      </c>
      <c r="H16" s="19" t="s">
        <v>320</v>
      </c>
      <c r="I16" s="19" t="s">
        <v>321</v>
      </c>
    </row>
    <row r="17" customHeight="1" spans="2:9">
      <c r="B17" s="17" t="s">
        <v>322</v>
      </c>
      <c r="C17" s="18" t="s">
        <v>250</v>
      </c>
      <c r="D17" s="19">
        <v>6</v>
      </c>
      <c r="E17" s="19" t="s">
        <v>283</v>
      </c>
      <c r="F17" s="19" t="s">
        <v>101</v>
      </c>
      <c r="G17" s="19" t="s">
        <v>279</v>
      </c>
      <c r="H17" s="19" t="s">
        <v>323</v>
      </c>
      <c r="I17" s="19" t="s">
        <v>281</v>
      </c>
    </row>
    <row r="18" customHeight="1" spans="2:9">
      <c r="B18" s="17" t="s">
        <v>324</v>
      </c>
      <c r="C18" s="18" t="s">
        <v>250</v>
      </c>
      <c r="D18" s="19">
        <v>9</v>
      </c>
      <c r="E18" s="19" t="s">
        <v>277</v>
      </c>
      <c r="F18" s="19" t="s">
        <v>101</v>
      </c>
      <c r="G18" s="19" t="s">
        <v>325</v>
      </c>
      <c r="H18" s="19" t="s">
        <v>326</v>
      </c>
      <c r="I18" s="19" t="s">
        <v>327</v>
      </c>
    </row>
    <row r="19" customHeight="1" spans="2:9">
      <c r="B19" s="17" t="s">
        <v>328</v>
      </c>
      <c r="C19" s="18" t="s">
        <v>250</v>
      </c>
      <c r="D19" s="19">
        <v>8</v>
      </c>
      <c r="E19" s="19" t="s">
        <v>283</v>
      </c>
      <c r="F19" s="19" t="s">
        <v>101</v>
      </c>
      <c r="G19" s="19" t="s">
        <v>329</v>
      </c>
      <c r="H19" s="19" t="s">
        <v>330</v>
      </c>
      <c r="I19" s="19" t="s">
        <v>281</v>
      </c>
    </row>
    <row r="20" customHeight="1" spans="2:9">
      <c r="B20" s="17" t="s">
        <v>331</v>
      </c>
      <c r="C20" s="18" t="s">
        <v>250</v>
      </c>
      <c r="D20" s="19">
        <v>7</v>
      </c>
      <c r="E20" s="19" t="s">
        <v>277</v>
      </c>
      <c r="F20" s="19" t="s">
        <v>278</v>
      </c>
      <c r="G20" s="19" t="s">
        <v>279</v>
      </c>
      <c r="H20" s="19" t="s">
        <v>332</v>
      </c>
      <c r="I20" s="19" t="s">
        <v>333</v>
      </c>
    </row>
    <row r="21" customHeight="1" spans="2:9">
      <c r="B21" s="17" t="s">
        <v>334</v>
      </c>
      <c r="C21" s="18" t="s">
        <v>250</v>
      </c>
      <c r="D21" s="19">
        <v>5</v>
      </c>
      <c r="E21" s="19" t="s">
        <v>283</v>
      </c>
      <c r="F21" s="19" t="s">
        <v>101</v>
      </c>
      <c r="G21" s="19" t="s">
        <v>335</v>
      </c>
      <c r="H21" s="19" t="s">
        <v>336</v>
      </c>
      <c r="I21" s="19" t="s">
        <v>281</v>
      </c>
    </row>
    <row r="22" customHeight="1" spans="2:9">
      <c r="B22" s="17" t="s">
        <v>337</v>
      </c>
      <c r="C22" s="18" t="s">
        <v>250</v>
      </c>
      <c r="D22" s="19">
        <v>8</v>
      </c>
      <c r="E22" s="19" t="s">
        <v>283</v>
      </c>
      <c r="F22" s="19" t="s">
        <v>101</v>
      </c>
      <c r="G22" s="19" t="s">
        <v>284</v>
      </c>
      <c r="H22" s="19" t="s">
        <v>338</v>
      </c>
      <c r="I22" s="19" t="s">
        <v>339</v>
      </c>
    </row>
    <row r="23" customHeight="1" spans="2:9">
      <c r="B23" s="17" t="s">
        <v>340</v>
      </c>
      <c r="C23" s="18" t="s">
        <v>250</v>
      </c>
      <c r="D23" s="19">
        <v>8</v>
      </c>
      <c r="E23" s="19" t="s">
        <v>341</v>
      </c>
      <c r="F23" s="19" t="s">
        <v>101</v>
      </c>
      <c r="G23" s="19" t="s">
        <v>279</v>
      </c>
      <c r="H23" s="19" t="s">
        <v>342</v>
      </c>
      <c r="I23" s="19" t="s">
        <v>281</v>
      </c>
    </row>
    <row r="24" customHeight="1" spans="2:9">
      <c r="B24" s="17" t="s">
        <v>343</v>
      </c>
      <c r="C24" s="18" t="s">
        <v>250</v>
      </c>
      <c r="D24" s="19">
        <v>8</v>
      </c>
      <c r="E24" s="19" t="s">
        <v>283</v>
      </c>
      <c r="F24" s="19" t="s">
        <v>278</v>
      </c>
      <c r="G24" s="19" t="s">
        <v>279</v>
      </c>
      <c r="H24" s="19" t="s">
        <v>344</v>
      </c>
      <c r="I24" s="19" t="s">
        <v>281</v>
      </c>
    </row>
    <row r="25" customHeight="1" spans="2:9">
      <c r="B25" s="17" t="s">
        <v>345</v>
      </c>
      <c r="C25" s="18" t="s">
        <v>250</v>
      </c>
      <c r="D25" s="19">
        <v>10</v>
      </c>
      <c r="E25" s="19" t="s">
        <v>277</v>
      </c>
      <c r="F25" s="19" t="s">
        <v>101</v>
      </c>
      <c r="G25" s="19" t="s">
        <v>329</v>
      </c>
      <c r="H25" s="19" t="s">
        <v>346</v>
      </c>
      <c r="I25" s="19" t="s">
        <v>281</v>
      </c>
    </row>
    <row r="26" customHeight="1" spans="2:9">
      <c r="B26" s="17" t="s">
        <v>347</v>
      </c>
      <c r="C26" s="18" t="s">
        <v>250</v>
      </c>
      <c r="D26" s="19">
        <v>6</v>
      </c>
      <c r="E26" s="19" t="s">
        <v>283</v>
      </c>
      <c r="F26" s="19" t="s">
        <v>101</v>
      </c>
      <c r="G26" s="19" t="s">
        <v>284</v>
      </c>
      <c r="H26" s="19" t="s">
        <v>348</v>
      </c>
      <c r="I26" s="19" t="s">
        <v>349</v>
      </c>
    </row>
    <row r="27" customHeight="1" spans="2:9">
      <c r="B27" s="17" t="s">
        <v>350</v>
      </c>
      <c r="C27" s="18" t="s">
        <v>250</v>
      </c>
      <c r="D27" s="19">
        <v>9</v>
      </c>
      <c r="E27" s="19" t="s">
        <v>277</v>
      </c>
      <c r="F27" s="19" t="s">
        <v>278</v>
      </c>
      <c r="G27" s="19" t="s">
        <v>329</v>
      </c>
      <c r="H27" s="19" t="s">
        <v>351</v>
      </c>
      <c r="I27" s="19" t="s">
        <v>352</v>
      </c>
    </row>
    <row r="28" customHeight="1" spans="2:9">
      <c r="B28" s="17" t="s">
        <v>353</v>
      </c>
      <c r="C28" s="18" t="s">
        <v>250</v>
      </c>
      <c r="D28" s="19">
        <v>7</v>
      </c>
      <c r="E28" s="19" t="s">
        <v>283</v>
      </c>
      <c r="F28" s="19" t="s">
        <v>101</v>
      </c>
      <c r="G28" s="19" t="s">
        <v>279</v>
      </c>
      <c r="H28" s="19" t="s">
        <v>354</v>
      </c>
      <c r="I28" s="19" t="s">
        <v>281</v>
      </c>
    </row>
    <row r="29" customHeight="1" spans="2:9">
      <c r="B29" s="17" t="s">
        <v>355</v>
      </c>
      <c r="C29" s="18" t="s">
        <v>250</v>
      </c>
      <c r="D29" s="19">
        <v>8</v>
      </c>
      <c r="E29" s="19" t="s">
        <v>277</v>
      </c>
      <c r="F29" s="19" t="s">
        <v>101</v>
      </c>
      <c r="G29" s="19" t="s">
        <v>288</v>
      </c>
      <c r="H29" s="19" t="s">
        <v>356</v>
      </c>
      <c r="I29" s="19" t="s">
        <v>300</v>
      </c>
    </row>
    <row r="30" customHeight="1" spans="2:9">
      <c r="B30" s="17" t="s">
        <v>357</v>
      </c>
      <c r="C30" s="18" t="s">
        <v>250</v>
      </c>
      <c r="D30" s="19">
        <v>11</v>
      </c>
      <c r="E30" s="19" t="s">
        <v>277</v>
      </c>
      <c r="F30" s="19" t="s">
        <v>101</v>
      </c>
      <c r="G30" s="19" t="s">
        <v>358</v>
      </c>
      <c r="H30" s="19" t="s">
        <v>359</v>
      </c>
      <c r="I30" s="19" t="s">
        <v>360</v>
      </c>
    </row>
    <row r="31" customHeight="1" spans="2:9">
      <c r="B31" s="17" t="s">
        <v>361</v>
      </c>
      <c r="C31" s="18" t="s">
        <v>250</v>
      </c>
      <c r="D31" s="19">
        <v>6</v>
      </c>
      <c r="E31" s="19" t="s">
        <v>283</v>
      </c>
      <c r="F31" s="19" t="s">
        <v>278</v>
      </c>
      <c r="G31" s="19" t="s">
        <v>279</v>
      </c>
      <c r="H31" s="19" t="s">
        <v>362</v>
      </c>
      <c r="I31" s="19" t="s">
        <v>281</v>
      </c>
    </row>
    <row r="32" customHeight="1" spans="2:9">
      <c r="B32" s="17" t="s">
        <v>363</v>
      </c>
      <c r="C32" s="18" t="s">
        <v>250</v>
      </c>
      <c r="D32" s="19">
        <v>8</v>
      </c>
      <c r="E32" s="19" t="s">
        <v>283</v>
      </c>
      <c r="F32" s="19" t="s">
        <v>278</v>
      </c>
      <c r="G32" s="19" t="s">
        <v>358</v>
      </c>
      <c r="H32" s="19" t="s">
        <v>364</v>
      </c>
      <c r="I32" s="19" t="s">
        <v>360</v>
      </c>
    </row>
    <row r="33" customHeight="1" spans="2:9">
      <c r="B33" s="17" t="s">
        <v>365</v>
      </c>
      <c r="C33" s="18" t="s">
        <v>250</v>
      </c>
      <c r="D33" s="19">
        <v>5</v>
      </c>
      <c r="E33" s="19" t="s">
        <v>283</v>
      </c>
      <c r="F33" s="19" t="s">
        <v>101</v>
      </c>
      <c r="G33" s="19" t="s">
        <v>366</v>
      </c>
      <c r="H33" s="19" t="s">
        <v>367</v>
      </c>
      <c r="I33" s="19" t="s">
        <v>281</v>
      </c>
    </row>
    <row r="34" customHeight="1" spans="2:9">
      <c r="B34" s="17" t="s">
        <v>368</v>
      </c>
      <c r="C34" s="18" t="s">
        <v>250</v>
      </c>
      <c r="D34" s="19">
        <v>8</v>
      </c>
      <c r="E34" s="19" t="s">
        <v>283</v>
      </c>
      <c r="F34" s="19" t="s">
        <v>278</v>
      </c>
      <c r="G34" s="19" t="s">
        <v>279</v>
      </c>
      <c r="H34" s="19" t="s">
        <v>369</v>
      </c>
      <c r="I34" s="19" t="s">
        <v>281</v>
      </c>
    </row>
    <row r="35" customHeight="1" spans="2:9">
      <c r="B35" s="17" t="s">
        <v>370</v>
      </c>
      <c r="C35" s="18" t="s">
        <v>250</v>
      </c>
      <c r="D35" s="19">
        <v>8</v>
      </c>
      <c r="E35" s="19" t="s">
        <v>283</v>
      </c>
      <c r="F35" s="19" t="s">
        <v>278</v>
      </c>
      <c r="G35" s="19" t="s">
        <v>279</v>
      </c>
      <c r="H35" s="19" t="s">
        <v>371</v>
      </c>
      <c r="I35" s="19" t="s">
        <v>281</v>
      </c>
    </row>
    <row r="36" customHeight="1" spans="2:9">
      <c r="B36" s="17" t="s">
        <v>372</v>
      </c>
      <c r="C36" s="18" t="s">
        <v>250</v>
      </c>
      <c r="D36" s="19">
        <v>9</v>
      </c>
      <c r="E36" s="19" t="s">
        <v>283</v>
      </c>
      <c r="F36" s="19" t="s">
        <v>101</v>
      </c>
      <c r="G36" s="19" t="s">
        <v>284</v>
      </c>
      <c r="H36" s="19" t="s">
        <v>373</v>
      </c>
      <c r="I36" s="19" t="s">
        <v>281</v>
      </c>
    </row>
    <row r="37" customHeight="1" spans="2:9">
      <c r="B37" s="17" t="s">
        <v>374</v>
      </c>
      <c r="C37" s="18" t="s">
        <v>250</v>
      </c>
      <c r="D37" s="19">
        <v>11</v>
      </c>
      <c r="E37" s="19" t="s">
        <v>283</v>
      </c>
      <c r="F37" s="19" t="s">
        <v>101</v>
      </c>
      <c r="G37" s="19" t="s">
        <v>279</v>
      </c>
      <c r="H37" s="19" t="s">
        <v>375</v>
      </c>
      <c r="I37" s="19" t="s">
        <v>281</v>
      </c>
    </row>
    <row r="38" customHeight="1" spans="2:9">
      <c r="B38" s="17" t="s">
        <v>376</v>
      </c>
      <c r="C38" s="18" t="s">
        <v>250</v>
      </c>
      <c r="D38" s="19">
        <v>9</v>
      </c>
      <c r="E38" s="19" t="s">
        <v>283</v>
      </c>
      <c r="F38" s="19" t="s">
        <v>101</v>
      </c>
      <c r="G38" s="19" t="s">
        <v>377</v>
      </c>
      <c r="H38" s="19" t="s">
        <v>378</v>
      </c>
      <c r="I38" s="19" t="s">
        <v>281</v>
      </c>
    </row>
    <row r="39" customHeight="1" spans="2:9">
      <c r="B39" s="17" t="s">
        <v>379</v>
      </c>
      <c r="C39" s="18" t="s">
        <v>250</v>
      </c>
      <c r="D39" s="19">
        <v>13</v>
      </c>
      <c r="E39" s="19" t="s">
        <v>277</v>
      </c>
      <c r="F39" s="19" t="s">
        <v>101</v>
      </c>
      <c r="G39" s="19" t="s">
        <v>279</v>
      </c>
      <c r="H39" s="19" t="s">
        <v>380</v>
      </c>
      <c r="I39" s="19" t="s">
        <v>281</v>
      </c>
    </row>
    <row r="40" customHeight="1" spans="2:9">
      <c r="B40" s="17" t="s">
        <v>381</v>
      </c>
      <c r="C40" s="18" t="s">
        <v>250</v>
      </c>
      <c r="D40" s="19">
        <v>9</v>
      </c>
      <c r="E40" s="19" t="s">
        <v>277</v>
      </c>
      <c r="F40" s="19" t="s">
        <v>101</v>
      </c>
      <c r="G40" s="19" t="s">
        <v>335</v>
      </c>
      <c r="H40" s="19" t="s">
        <v>382</v>
      </c>
      <c r="I40" s="19" t="s">
        <v>281</v>
      </c>
    </row>
    <row r="41" customHeight="1" spans="2:9">
      <c r="B41" s="17" t="s">
        <v>383</v>
      </c>
      <c r="C41" s="18" t="s">
        <v>250</v>
      </c>
      <c r="D41" s="19">
        <v>6</v>
      </c>
      <c r="E41" s="19" t="s">
        <v>277</v>
      </c>
      <c r="F41" s="19" t="s">
        <v>101</v>
      </c>
      <c r="G41" s="19" t="s">
        <v>335</v>
      </c>
      <c r="H41" s="19" t="s">
        <v>384</v>
      </c>
      <c r="I41" s="19" t="s">
        <v>281</v>
      </c>
    </row>
    <row r="42" customHeight="1" spans="2:9">
      <c r="B42" s="17" t="s">
        <v>385</v>
      </c>
      <c r="C42" s="18" t="s">
        <v>250</v>
      </c>
      <c r="D42" s="19">
        <v>6</v>
      </c>
      <c r="E42" s="19" t="s">
        <v>277</v>
      </c>
      <c r="F42" s="19" t="s">
        <v>278</v>
      </c>
      <c r="G42" s="19" t="s">
        <v>335</v>
      </c>
      <c r="H42" s="19" t="s">
        <v>386</v>
      </c>
      <c r="I42" s="19" t="s">
        <v>281</v>
      </c>
    </row>
    <row r="43" customHeight="1" spans="2:9">
      <c r="B43" s="17" t="s">
        <v>387</v>
      </c>
      <c r="C43" s="18" t="s">
        <v>250</v>
      </c>
      <c r="D43" s="19">
        <v>10</v>
      </c>
      <c r="E43" s="19" t="s">
        <v>277</v>
      </c>
      <c r="F43" s="19" t="s">
        <v>101</v>
      </c>
      <c r="G43" s="19" t="s">
        <v>335</v>
      </c>
      <c r="H43" s="19" t="s">
        <v>388</v>
      </c>
      <c r="I43" s="19" t="s">
        <v>281</v>
      </c>
    </row>
    <row r="44" customHeight="1" spans="2:9">
      <c r="B44" s="17" t="s">
        <v>389</v>
      </c>
      <c r="C44" s="18" t="s">
        <v>250</v>
      </c>
      <c r="D44" s="19">
        <v>10</v>
      </c>
      <c r="E44" s="19" t="s">
        <v>277</v>
      </c>
      <c r="F44" s="19" t="s">
        <v>101</v>
      </c>
      <c r="G44" s="19" t="s">
        <v>390</v>
      </c>
      <c r="H44" s="19" t="s">
        <v>391</v>
      </c>
      <c r="I44" s="19" t="s">
        <v>392</v>
      </c>
    </row>
    <row r="45" customHeight="1" spans="2:9">
      <c r="B45" s="17" t="s">
        <v>393</v>
      </c>
      <c r="C45" s="18" t="s">
        <v>250</v>
      </c>
      <c r="D45" s="19">
        <v>8</v>
      </c>
      <c r="E45" s="19" t="s">
        <v>277</v>
      </c>
      <c r="F45" s="19" t="s">
        <v>278</v>
      </c>
      <c r="G45" s="19" t="s">
        <v>279</v>
      </c>
      <c r="H45" s="19" t="s">
        <v>394</v>
      </c>
      <c r="I45" s="19" t="s">
        <v>395</v>
      </c>
    </row>
    <row r="46" customHeight="1" spans="2:9">
      <c r="B46" s="17" t="s">
        <v>396</v>
      </c>
      <c r="C46" s="18" t="s">
        <v>250</v>
      </c>
      <c r="D46" s="19">
        <v>7</v>
      </c>
      <c r="E46" s="19" t="s">
        <v>283</v>
      </c>
      <c r="F46" s="19" t="s">
        <v>278</v>
      </c>
      <c r="G46" s="19" t="s">
        <v>288</v>
      </c>
      <c r="H46" s="19" t="s">
        <v>397</v>
      </c>
      <c r="I46" s="19" t="s">
        <v>318</v>
      </c>
    </row>
    <row r="47" customHeight="1" spans="2:9">
      <c r="B47" s="17" t="s">
        <v>398</v>
      </c>
      <c r="C47" s="18" t="s">
        <v>250</v>
      </c>
      <c r="D47" s="19">
        <v>7</v>
      </c>
      <c r="E47" s="19" t="s">
        <v>277</v>
      </c>
      <c r="F47" s="19" t="s">
        <v>278</v>
      </c>
      <c r="G47" s="19" t="s">
        <v>279</v>
      </c>
      <c r="H47" s="19" t="s">
        <v>399</v>
      </c>
      <c r="I47" s="19" t="s">
        <v>400</v>
      </c>
    </row>
    <row r="48" customHeight="1" spans="2:9">
      <c r="B48" s="17" t="s">
        <v>401</v>
      </c>
      <c r="C48" s="18" t="s">
        <v>250</v>
      </c>
      <c r="D48" s="19">
        <v>6</v>
      </c>
      <c r="E48" s="19" t="s">
        <v>277</v>
      </c>
      <c r="F48" s="19" t="s">
        <v>278</v>
      </c>
      <c r="G48" s="19" t="s">
        <v>335</v>
      </c>
      <c r="H48" s="19" t="s">
        <v>402</v>
      </c>
      <c r="I48" s="19" t="s">
        <v>403</v>
      </c>
    </row>
    <row r="49" customHeight="1" spans="2:9">
      <c r="B49" s="17" t="s">
        <v>404</v>
      </c>
      <c r="C49" s="18" t="s">
        <v>250</v>
      </c>
      <c r="D49" s="19">
        <v>5</v>
      </c>
      <c r="E49" s="19" t="s">
        <v>283</v>
      </c>
      <c r="F49" s="19" t="s">
        <v>101</v>
      </c>
      <c r="G49" s="19" t="s">
        <v>302</v>
      </c>
      <c r="H49" s="19" t="s">
        <v>405</v>
      </c>
      <c r="I49" s="19" t="s">
        <v>406</v>
      </c>
    </row>
    <row r="50" customHeight="1" spans="2:9">
      <c r="B50" s="17" t="s">
        <v>407</v>
      </c>
      <c r="C50" s="18" t="s">
        <v>250</v>
      </c>
      <c r="D50" s="19">
        <v>6</v>
      </c>
      <c r="E50" s="19" t="s">
        <v>283</v>
      </c>
      <c r="F50" s="19" t="s">
        <v>278</v>
      </c>
      <c r="G50" s="19" t="s">
        <v>279</v>
      </c>
      <c r="H50" s="19" t="s">
        <v>408</v>
      </c>
      <c r="I50" s="19" t="s">
        <v>281</v>
      </c>
    </row>
    <row r="51" customHeight="1" spans="2:9">
      <c r="B51" s="17" t="s">
        <v>409</v>
      </c>
      <c r="C51" s="18" t="s">
        <v>250</v>
      </c>
      <c r="D51" s="19">
        <v>10</v>
      </c>
      <c r="E51" s="19" t="s">
        <v>277</v>
      </c>
      <c r="F51" s="19" t="s">
        <v>278</v>
      </c>
      <c r="G51" s="19" t="s">
        <v>288</v>
      </c>
      <c r="H51" s="20" t="s">
        <v>410</v>
      </c>
      <c r="I51" s="19" t="s">
        <v>411</v>
      </c>
    </row>
    <row r="52" customHeight="1" spans="2:9">
      <c r="B52" s="17" t="s">
        <v>412</v>
      </c>
      <c r="C52" s="18" t="s">
        <v>413</v>
      </c>
      <c r="D52" s="19">
        <v>19</v>
      </c>
      <c r="E52" s="19" t="s">
        <v>283</v>
      </c>
      <c r="F52" s="19" t="s">
        <v>278</v>
      </c>
      <c r="G52" s="19" t="s">
        <v>284</v>
      </c>
      <c r="H52" s="19" t="s">
        <v>414</v>
      </c>
      <c r="I52" s="19" t="s">
        <v>415</v>
      </c>
    </row>
    <row r="53" customHeight="1" spans="2:9">
      <c r="B53" s="17" t="s">
        <v>416</v>
      </c>
      <c r="C53" s="18" t="s">
        <v>413</v>
      </c>
      <c r="D53" s="19">
        <v>20</v>
      </c>
      <c r="E53" s="19" t="s">
        <v>283</v>
      </c>
      <c r="F53" s="19" t="s">
        <v>101</v>
      </c>
      <c r="G53" s="19" t="s">
        <v>284</v>
      </c>
      <c r="H53" s="19" t="s">
        <v>417</v>
      </c>
      <c r="I53" s="19" t="s">
        <v>418</v>
      </c>
    </row>
    <row r="54" customHeight="1" spans="2:9">
      <c r="B54" s="17" t="s">
        <v>419</v>
      </c>
      <c r="C54" s="18" t="s">
        <v>413</v>
      </c>
      <c r="D54" s="19">
        <v>10</v>
      </c>
      <c r="E54" s="19" t="s">
        <v>283</v>
      </c>
      <c r="F54" s="19" t="s">
        <v>278</v>
      </c>
      <c r="G54" s="19" t="s">
        <v>279</v>
      </c>
      <c r="H54" s="19" t="s">
        <v>420</v>
      </c>
      <c r="I54" s="19" t="s">
        <v>421</v>
      </c>
    </row>
    <row r="55" customHeight="1" spans="2:9">
      <c r="B55" s="17" t="s">
        <v>422</v>
      </c>
      <c r="C55" s="18" t="s">
        <v>413</v>
      </c>
      <c r="D55" s="19">
        <v>19</v>
      </c>
      <c r="E55" s="19" t="s">
        <v>277</v>
      </c>
      <c r="F55" s="19" t="s">
        <v>278</v>
      </c>
      <c r="G55" s="19" t="s">
        <v>279</v>
      </c>
      <c r="H55" s="19" t="s">
        <v>423</v>
      </c>
      <c r="I55" s="19" t="s">
        <v>281</v>
      </c>
    </row>
    <row r="56" customHeight="1" spans="2:9">
      <c r="B56" s="17" t="s">
        <v>424</v>
      </c>
      <c r="C56" s="18" t="s">
        <v>413</v>
      </c>
      <c r="D56" s="19">
        <v>14</v>
      </c>
      <c r="E56" s="19" t="s">
        <v>283</v>
      </c>
      <c r="F56" s="19" t="s">
        <v>101</v>
      </c>
      <c r="G56" s="19" t="s">
        <v>284</v>
      </c>
      <c r="H56" s="19" t="s">
        <v>425</v>
      </c>
      <c r="I56" s="19" t="s">
        <v>426</v>
      </c>
    </row>
    <row r="57" customHeight="1" spans="2:9">
      <c r="B57" s="17" t="s">
        <v>427</v>
      </c>
      <c r="C57" s="18" t="s">
        <v>413</v>
      </c>
      <c r="D57" s="19">
        <v>15</v>
      </c>
      <c r="E57" s="19" t="s">
        <v>277</v>
      </c>
      <c r="F57" s="19" t="s">
        <v>278</v>
      </c>
      <c r="G57" s="19" t="s">
        <v>279</v>
      </c>
      <c r="H57" s="19" t="s">
        <v>428</v>
      </c>
      <c r="I57" s="19" t="s">
        <v>281</v>
      </c>
    </row>
    <row r="58" customHeight="1" spans="2:9">
      <c r="B58" s="17" t="s">
        <v>429</v>
      </c>
      <c r="C58" s="18" t="s">
        <v>413</v>
      </c>
      <c r="D58" s="19">
        <v>11</v>
      </c>
      <c r="E58" s="19" t="s">
        <v>283</v>
      </c>
      <c r="F58" s="19" t="s">
        <v>101</v>
      </c>
      <c r="G58" s="19" t="s">
        <v>335</v>
      </c>
      <c r="H58" s="19" t="s">
        <v>430</v>
      </c>
      <c r="I58" s="19" t="s">
        <v>431</v>
      </c>
    </row>
    <row r="59" customHeight="1" spans="2:9">
      <c r="B59" s="17" t="s">
        <v>432</v>
      </c>
      <c r="C59" s="18" t="s">
        <v>413</v>
      </c>
      <c r="D59" s="19">
        <v>16</v>
      </c>
      <c r="E59" s="19" t="s">
        <v>283</v>
      </c>
      <c r="F59" s="19" t="s">
        <v>278</v>
      </c>
      <c r="G59" s="19" t="s">
        <v>279</v>
      </c>
      <c r="H59" s="19" t="s">
        <v>433</v>
      </c>
      <c r="I59" s="19" t="s">
        <v>281</v>
      </c>
    </row>
    <row r="60" customHeight="1" spans="2:9">
      <c r="B60" s="17" t="s">
        <v>434</v>
      </c>
      <c r="C60" s="18" t="s">
        <v>413</v>
      </c>
      <c r="D60" s="19">
        <v>13</v>
      </c>
      <c r="E60" s="19" t="s">
        <v>283</v>
      </c>
      <c r="F60" s="19" t="s">
        <v>101</v>
      </c>
      <c r="G60" s="19" t="s">
        <v>284</v>
      </c>
      <c r="H60" s="19" t="s">
        <v>435</v>
      </c>
      <c r="I60" s="19" t="s">
        <v>436</v>
      </c>
    </row>
    <row r="61" customHeight="1" spans="2:9">
      <c r="B61" s="17" t="s">
        <v>437</v>
      </c>
      <c r="C61" s="18" t="s">
        <v>413</v>
      </c>
      <c r="D61" s="19">
        <v>23</v>
      </c>
      <c r="E61" s="19" t="s">
        <v>277</v>
      </c>
      <c r="F61" s="19" t="s">
        <v>278</v>
      </c>
      <c r="G61" s="19" t="s">
        <v>279</v>
      </c>
      <c r="H61" s="19" t="s">
        <v>438</v>
      </c>
      <c r="I61" s="19" t="s">
        <v>281</v>
      </c>
    </row>
    <row r="62" customHeight="1" spans="2:9">
      <c r="B62" s="17" t="s">
        <v>439</v>
      </c>
      <c r="C62" s="18" t="s">
        <v>413</v>
      </c>
      <c r="D62" s="19">
        <v>13</v>
      </c>
      <c r="E62" s="19" t="s">
        <v>277</v>
      </c>
      <c r="F62" s="19" t="s">
        <v>278</v>
      </c>
      <c r="G62" s="19" t="s">
        <v>284</v>
      </c>
      <c r="H62" s="19" t="s">
        <v>440</v>
      </c>
      <c r="I62" s="19" t="s">
        <v>441</v>
      </c>
    </row>
    <row r="63" customHeight="1" spans="2:9">
      <c r="B63" s="17" t="s">
        <v>442</v>
      </c>
      <c r="C63" s="18" t="s">
        <v>413</v>
      </c>
      <c r="D63" s="19">
        <v>20</v>
      </c>
      <c r="E63" s="19" t="s">
        <v>283</v>
      </c>
      <c r="F63" s="19" t="s">
        <v>278</v>
      </c>
      <c r="G63" s="19" t="s">
        <v>302</v>
      </c>
      <c r="H63" s="19" t="s">
        <v>443</v>
      </c>
      <c r="I63" s="19" t="s">
        <v>281</v>
      </c>
    </row>
    <row r="64" customHeight="1" spans="2:9">
      <c r="B64" s="17" t="s">
        <v>444</v>
      </c>
      <c r="C64" s="18" t="s">
        <v>413</v>
      </c>
      <c r="D64" s="19">
        <v>18</v>
      </c>
      <c r="E64" s="19" t="s">
        <v>283</v>
      </c>
      <c r="F64" s="19" t="s">
        <v>278</v>
      </c>
      <c r="G64" s="19" t="s">
        <v>279</v>
      </c>
      <c r="H64" s="19" t="s">
        <v>445</v>
      </c>
      <c r="I64" s="19" t="s">
        <v>446</v>
      </c>
    </row>
    <row r="65" customHeight="1" spans="2:9">
      <c r="B65" s="17" t="s">
        <v>447</v>
      </c>
      <c r="C65" s="18" t="s">
        <v>448</v>
      </c>
      <c r="D65" s="19">
        <v>16</v>
      </c>
      <c r="E65" s="19" t="s">
        <v>277</v>
      </c>
      <c r="F65" s="19" t="s">
        <v>278</v>
      </c>
      <c r="G65" s="19" t="s">
        <v>279</v>
      </c>
      <c r="H65" s="19" t="s">
        <v>449</v>
      </c>
      <c r="I65" s="19" t="s">
        <v>450</v>
      </c>
    </row>
    <row r="66" customHeight="1" spans="2:9">
      <c r="B66" s="17" t="s">
        <v>451</v>
      </c>
      <c r="C66" s="18" t="s">
        <v>448</v>
      </c>
      <c r="D66" s="19">
        <v>15</v>
      </c>
      <c r="E66" s="19" t="s">
        <v>341</v>
      </c>
      <c r="F66" s="19" t="s">
        <v>101</v>
      </c>
      <c r="G66" s="19" t="s">
        <v>279</v>
      </c>
      <c r="H66" s="19" t="s">
        <v>452</v>
      </c>
      <c r="I66" s="19" t="s">
        <v>281</v>
      </c>
    </row>
    <row r="67" customHeight="1" spans="2:9">
      <c r="B67" s="17" t="s">
        <v>453</v>
      </c>
      <c r="C67" s="18" t="s">
        <v>448</v>
      </c>
      <c r="D67" s="19">
        <v>17</v>
      </c>
      <c r="E67" s="19" t="s">
        <v>277</v>
      </c>
      <c r="F67" s="19" t="s">
        <v>278</v>
      </c>
      <c r="G67" s="19" t="s">
        <v>454</v>
      </c>
      <c r="H67" s="20" t="s">
        <v>455</v>
      </c>
      <c r="I67" s="19" t="s">
        <v>456</v>
      </c>
    </row>
    <row r="68" customHeight="1" spans="2:9">
      <c r="B68" s="17" t="s">
        <v>457</v>
      </c>
      <c r="C68" s="18" t="s">
        <v>448</v>
      </c>
      <c r="D68" s="19">
        <v>14</v>
      </c>
      <c r="E68" s="19" t="s">
        <v>277</v>
      </c>
      <c r="F68" s="19" t="s">
        <v>101</v>
      </c>
      <c r="G68" s="19" t="s">
        <v>335</v>
      </c>
      <c r="H68" s="19" t="s">
        <v>458</v>
      </c>
      <c r="I68" s="19" t="s">
        <v>281</v>
      </c>
    </row>
    <row r="69" customHeight="1" spans="2:9">
      <c r="B69" s="17" t="s">
        <v>459</v>
      </c>
      <c r="C69" s="18" t="s">
        <v>448</v>
      </c>
      <c r="D69" s="19">
        <v>23</v>
      </c>
      <c r="E69" s="19" t="s">
        <v>277</v>
      </c>
      <c r="F69" s="19" t="s">
        <v>278</v>
      </c>
      <c r="G69" s="19" t="s">
        <v>279</v>
      </c>
      <c r="H69" s="20" t="s">
        <v>460</v>
      </c>
      <c r="I69" s="19" t="s">
        <v>281</v>
      </c>
    </row>
    <row r="70" customHeight="1" spans="2:9">
      <c r="B70" s="17" t="s">
        <v>461</v>
      </c>
      <c r="C70" s="18" t="s">
        <v>448</v>
      </c>
      <c r="D70" s="19">
        <v>11</v>
      </c>
      <c r="E70" s="19" t="s">
        <v>277</v>
      </c>
      <c r="F70" s="19" t="s">
        <v>278</v>
      </c>
      <c r="G70" s="19" t="s">
        <v>279</v>
      </c>
      <c r="H70" s="19" t="s">
        <v>462</v>
      </c>
      <c r="I70" s="19" t="s">
        <v>281</v>
      </c>
    </row>
    <row r="71" customHeight="1" spans="2:9">
      <c r="B71" s="17" t="s">
        <v>463</v>
      </c>
      <c r="C71" s="18" t="s">
        <v>448</v>
      </c>
      <c r="D71" s="19">
        <v>18</v>
      </c>
      <c r="E71" s="19" t="s">
        <v>283</v>
      </c>
      <c r="F71" s="19" t="s">
        <v>101</v>
      </c>
      <c r="G71" s="19" t="s">
        <v>279</v>
      </c>
      <c r="H71" s="19" t="s">
        <v>464</v>
      </c>
      <c r="I71" s="19" t="s">
        <v>281</v>
      </c>
    </row>
    <row r="72" customHeight="1" spans="2:9">
      <c r="B72" s="17" t="s">
        <v>465</v>
      </c>
      <c r="C72" s="18" t="s">
        <v>448</v>
      </c>
      <c r="D72" s="19">
        <v>17</v>
      </c>
      <c r="E72" s="19" t="s">
        <v>341</v>
      </c>
      <c r="F72" s="19" t="s">
        <v>101</v>
      </c>
      <c r="G72" s="19" t="s">
        <v>279</v>
      </c>
      <c r="H72" s="19" t="s">
        <v>466</v>
      </c>
      <c r="I72" s="19" t="s">
        <v>281</v>
      </c>
    </row>
    <row r="73" customHeight="1" spans="2:9">
      <c r="B73" s="17" t="s">
        <v>467</v>
      </c>
      <c r="C73" s="18" t="s">
        <v>448</v>
      </c>
      <c r="D73" s="19">
        <v>9</v>
      </c>
      <c r="E73" s="19" t="s">
        <v>283</v>
      </c>
      <c r="F73" s="19" t="s">
        <v>278</v>
      </c>
      <c r="G73" s="19" t="s">
        <v>279</v>
      </c>
      <c r="H73" s="19" t="s">
        <v>468</v>
      </c>
      <c r="I73" s="19" t="s">
        <v>469</v>
      </c>
    </row>
    <row r="74" customHeight="1" spans="2:9">
      <c r="B74" s="17" t="s">
        <v>470</v>
      </c>
      <c r="C74" s="18" t="s">
        <v>448</v>
      </c>
      <c r="D74" s="19">
        <v>11</v>
      </c>
      <c r="E74" s="19" t="s">
        <v>341</v>
      </c>
      <c r="F74" s="19" t="s">
        <v>101</v>
      </c>
      <c r="G74" s="19" t="s">
        <v>279</v>
      </c>
      <c r="H74" s="19" t="s">
        <v>471</v>
      </c>
      <c r="I74" s="19" t="s">
        <v>281</v>
      </c>
    </row>
    <row r="75" customHeight="1" spans="2:9">
      <c r="B75" s="17" t="s">
        <v>472</v>
      </c>
      <c r="C75" s="18" t="s">
        <v>473</v>
      </c>
      <c r="D75" s="19">
        <v>23</v>
      </c>
      <c r="E75" s="19" t="s">
        <v>277</v>
      </c>
      <c r="F75" s="19" t="s">
        <v>278</v>
      </c>
      <c r="G75" s="19" t="s">
        <v>377</v>
      </c>
      <c r="H75" s="19" t="s">
        <v>474</v>
      </c>
      <c r="I75" s="19" t="s">
        <v>281</v>
      </c>
    </row>
    <row r="76" customHeight="1" spans="2:9">
      <c r="B76" s="17" t="s">
        <v>475</v>
      </c>
      <c r="C76" s="18" t="s">
        <v>473</v>
      </c>
      <c r="D76" s="19">
        <v>19</v>
      </c>
      <c r="E76" s="19" t="s">
        <v>277</v>
      </c>
      <c r="F76" s="19" t="s">
        <v>278</v>
      </c>
      <c r="G76" s="19" t="s">
        <v>284</v>
      </c>
      <c r="H76" s="19" t="s">
        <v>476</v>
      </c>
      <c r="I76" s="19" t="s">
        <v>281</v>
      </c>
    </row>
    <row r="77" customHeight="1" spans="2:9">
      <c r="B77" s="17" t="s">
        <v>477</v>
      </c>
      <c r="C77" s="18" t="s">
        <v>473</v>
      </c>
      <c r="D77" s="19">
        <v>16</v>
      </c>
      <c r="E77" s="19" t="s">
        <v>283</v>
      </c>
      <c r="F77" s="19" t="s">
        <v>101</v>
      </c>
      <c r="G77" s="19" t="s">
        <v>288</v>
      </c>
      <c r="H77" s="19" t="s">
        <v>478</v>
      </c>
      <c r="I77" s="19" t="s">
        <v>479</v>
      </c>
    </row>
    <row r="78" customHeight="1" spans="2:9">
      <c r="B78" s="17" t="s">
        <v>480</v>
      </c>
      <c r="C78" s="18" t="s">
        <v>473</v>
      </c>
      <c r="D78" s="19">
        <v>11</v>
      </c>
      <c r="E78" s="19" t="s">
        <v>283</v>
      </c>
      <c r="F78" s="19" t="s">
        <v>101</v>
      </c>
      <c r="G78" s="19" t="s">
        <v>358</v>
      </c>
      <c r="H78" s="19" t="s">
        <v>481</v>
      </c>
      <c r="I78" s="19" t="s">
        <v>482</v>
      </c>
    </row>
    <row r="79" customHeight="1" spans="2:9">
      <c r="B79" s="17" t="s">
        <v>483</v>
      </c>
      <c r="C79" s="18" t="s">
        <v>473</v>
      </c>
      <c r="D79" s="19">
        <v>13</v>
      </c>
      <c r="E79" s="19" t="s">
        <v>283</v>
      </c>
      <c r="F79" s="19" t="s">
        <v>278</v>
      </c>
      <c r="G79" s="19" t="s">
        <v>484</v>
      </c>
      <c r="H79" s="19" t="s">
        <v>485</v>
      </c>
      <c r="I79" s="19" t="s">
        <v>486</v>
      </c>
    </row>
    <row r="80" customHeight="1" spans="2:9">
      <c r="B80" s="17" t="s">
        <v>487</v>
      </c>
      <c r="C80" s="18" t="s">
        <v>473</v>
      </c>
      <c r="D80" s="19">
        <v>17</v>
      </c>
      <c r="E80" s="19" t="s">
        <v>277</v>
      </c>
      <c r="F80" s="19" t="s">
        <v>278</v>
      </c>
      <c r="G80" s="19" t="s">
        <v>488</v>
      </c>
      <c r="H80" s="19" t="s">
        <v>489</v>
      </c>
      <c r="I80" s="19" t="s">
        <v>281</v>
      </c>
    </row>
    <row r="81" customHeight="1" spans="2:9">
      <c r="B81" s="17" t="s">
        <v>490</v>
      </c>
      <c r="C81" s="18" t="s">
        <v>473</v>
      </c>
      <c r="D81" s="19">
        <v>10</v>
      </c>
      <c r="E81" s="19" t="s">
        <v>283</v>
      </c>
      <c r="F81" s="19" t="s">
        <v>278</v>
      </c>
      <c r="G81" s="19" t="s">
        <v>279</v>
      </c>
      <c r="H81" s="19" t="s">
        <v>491</v>
      </c>
      <c r="I81" s="19" t="s">
        <v>281</v>
      </c>
    </row>
    <row r="82" customHeight="1" spans="2:9">
      <c r="B82" s="17" t="s">
        <v>492</v>
      </c>
      <c r="C82" s="18" t="s">
        <v>473</v>
      </c>
      <c r="D82" s="19">
        <v>16</v>
      </c>
      <c r="E82" s="19" t="s">
        <v>283</v>
      </c>
      <c r="F82" s="19" t="s">
        <v>278</v>
      </c>
      <c r="G82" s="19" t="s">
        <v>484</v>
      </c>
      <c r="H82" s="19" t="s">
        <v>493</v>
      </c>
      <c r="I82" s="19" t="s">
        <v>494</v>
      </c>
    </row>
    <row r="83" customHeight="1" spans="2:9">
      <c r="B83" s="17" t="s">
        <v>495</v>
      </c>
      <c r="C83" s="18" t="s">
        <v>473</v>
      </c>
      <c r="D83" s="19">
        <v>8</v>
      </c>
      <c r="E83" s="19" t="s">
        <v>283</v>
      </c>
      <c r="F83" s="19" t="s">
        <v>278</v>
      </c>
      <c r="G83" s="19" t="s">
        <v>279</v>
      </c>
      <c r="H83" s="19" t="s">
        <v>496</v>
      </c>
      <c r="I83" s="19" t="s">
        <v>281</v>
      </c>
    </row>
    <row r="84" customHeight="1" spans="2:9">
      <c r="B84" s="17" t="s">
        <v>497</v>
      </c>
      <c r="C84" s="18" t="s">
        <v>473</v>
      </c>
      <c r="D84" s="19">
        <v>11</v>
      </c>
      <c r="E84" s="19" t="s">
        <v>283</v>
      </c>
      <c r="F84" s="19" t="s">
        <v>101</v>
      </c>
      <c r="G84" s="19" t="s">
        <v>498</v>
      </c>
      <c r="H84" s="19" t="s">
        <v>499</v>
      </c>
      <c r="I84" s="19" t="s">
        <v>500</v>
      </c>
    </row>
    <row r="85" customHeight="1" spans="2:9">
      <c r="B85" s="17" t="s">
        <v>501</v>
      </c>
      <c r="C85" s="18" t="s">
        <v>473</v>
      </c>
      <c r="D85" s="19">
        <v>27</v>
      </c>
      <c r="E85" s="19" t="s">
        <v>277</v>
      </c>
      <c r="F85" s="19" t="s">
        <v>278</v>
      </c>
      <c r="G85" s="19" t="s">
        <v>279</v>
      </c>
      <c r="H85" s="19" t="s">
        <v>502</v>
      </c>
      <c r="I85" s="19" t="s">
        <v>281</v>
      </c>
    </row>
    <row r="86" customHeight="1" spans="2:9">
      <c r="B86" s="17" t="s">
        <v>503</v>
      </c>
      <c r="C86" s="18" t="s">
        <v>504</v>
      </c>
      <c r="D86" s="19">
        <v>17</v>
      </c>
      <c r="E86" s="19" t="s">
        <v>283</v>
      </c>
      <c r="F86" s="19" t="s">
        <v>278</v>
      </c>
      <c r="G86" s="19" t="s">
        <v>279</v>
      </c>
      <c r="H86" s="19" t="s">
        <v>505</v>
      </c>
      <c r="I86" s="19" t="s">
        <v>506</v>
      </c>
    </row>
    <row r="87" customHeight="1" spans="2:9">
      <c r="B87" s="17" t="s">
        <v>507</v>
      </c>
      <c r="C87" s="18" t="s">
        <v>504</v>
      </c>
      <c r="D87" s="19">
        <v>16</v>
      </c>
      <c r="E87" s="19" t="s">
        <v>308</v>
      </c>
      <c r="F87" s="19" t="s">
        <v>101</v>
      </c>
      <c r="G87" s="19" t="s">
        <v>508</v>
      </c>
      <c r="H87" s="19" t="s">
        <v>509</v>
      </c>
      <c r="I87" s="19" t="s">
        <v>281</v>
      </c>
    </row>
    <row r="88" customHeight="1" spans="2:9">
      <c r="B88" s="17" t="s">
        <v>510</v>
      </c>
      <c r="C88" s="18" t="s">
        <v>504</v>
      </c>
      <c r="D88" s="19">
        <v>23</v>
      </c>
      <c r="E88" s="19" t="s">
        <v>283</v>
      </c>
      <c r="F88" s="19" t="s">
        <v>278</v>
      </c>
      <c r="G88" s="19" t="s">
        <v>284</v>
      </c>
      <c r="H88" s="19" t="s">
        <v>511</v>
      </c>
      <c r="I88" s="19" t="s">
        <v>281</v>
      </c>
    </row>
    <row r="89" customHeight="1" spans="2:9">
      <c r="B89" s="17" t="s">
        <v>512</v>
      </c>
      <c r="C89" s="18" t="s">
        <v>504</v>
      </c>
      <c r="D89" s="19">
        <v>21</v>
      </c>
      <c r="E89" s="19" t="s">
        <v>277</v>
      </c>
      <c r="F89" s="19" t="s">
        <v>101</v>
      </c>
      <c r="G89" s="19" t="s">
        <v>513</v>
      </c>
      <c r="H89" s="19" t="s">
        <v>514</v>
      </c>
      <c r="I89" s="19" t="s">
        <v>515</v>
      </c>
    </row>
    <row r="90" customHeight="1" spans="2:9">
      <c r="B90" s="17" t="s">
        <v>516</v>
      </c>
      <c r="C90" s="18" t="s">
        <v>504</v>
      </c>
      <c r="D90" s="19">
        <v>13</v>
      </c>
      <c r="E90" s="19" t="s">
        <v>283</v>
      </c>
      <c r="F90" s="19" t="s">
        <v>101</v>
      </c>
      <c r="G90" s="19" t="s">
        <v>513</v>
      </c>
      <c r="H90" s="19" t="s">
        <v>517</v>
      </c>
      <c r="I90" s="19" t="s">
        <v>518</v>
      </c>
    </row>
    <row r="91" customHeight="1" spans="2:9">
      <c r="B91" s="17" t="s">
        <v>519</v>
      </c>
      <c r="C91" s="18" t="s">
        <v>504</v>
      </c>
      <c r="D91" s="19">
        <v>17</v>
      </c>
      <c r="E91" s="19" t="s">
        <v>283</v>
      </c>
      <c r="F91" s="19" t="s">
        <v>101</v>
      </c>
      <c r="G91" s="19" t="s">
        <v>284</v>
      </c>
      <c r="H91" s="19" t="s">
        <v>520</v>
      </c>
      <c r="I91" s="19" t="s">
        <v>300</v>
      </c>
    </row>
    <row r="92" customHeight="1" spans="2:9">
      <c r="B92" s="17" t="s">
        <v>521</v>
      </c>
      <c r="C92" s="18" t="s">
        <v>504</v>
      </c>
      <c r="D92" s="19">
        <v>19</v>
      </c>
      <c r="E92" s="19" t="s">
        <v>283</v>
      </c>
      <c r="F92" s="19" t="s">
        <v>278</v>
      </c>
      <c r="G92" s="19" t="s">
        <v>279</v>
      </c>
      <c r="H92" s="20" t="s">
        <v>522</v>
      </c>
      <c r="I92" s="19" t="s">
        <v>281</v>
      </c>
    </row>
    <row r="93" customHeight="1" spans="2:9">
      <c r="B93" s="17" t="s">
        <v>523</v>
      </c>
      <c r="C93" s="18" t="s">
        <v>504</v>
      </c>
      <c r="D93" s="19">
        <v>11</v>
      </c>
      <c r="E93" s="19" t="s">
        <v>283</v>
      </c>
      <c r="F93" s="19" t="s">
        <v>278</v>
      </c>
      <c r="G93" s="19" t="s">
        <v>284</v>
      </c>
      <c r="H93" s="19" t="s">
        <v>524</v>
      </c>
      <c r="I93" s="19" t="s">
        <v>281</v>
      </c>
    </row>
    <row r="94" customHeight="1" spans="2:9">
      <c r="B94" s="17" t="s">
        <v>525</v>
      </c>
      <c r="C94" s="18" t="s">
        <v>504</v>
      </c>
      <c r="D94" s="19">
        <v>14</v>
      </c>
      <c r="E94" s="19" t="s">
        <v>283</v>
      </c>
      <c r="F94" s="19" t="s">
        <v>101</v>
      </c>
      <c r="G94" s="19" t="s">
        <v>284</v>
      </c>
      <c r="H94" s="19" t="s">
        <v>526</v>
      </c>
      <c r="I94" s="19" t="s">
        <v>527</v>
      </c>
    </row>
    <row r="95" customHeight="1" spans="2:9">
      <c r="B95" s="17" t="s">
        <v>528</v>
      </c>
      <c r="C95" s="18" t="s">
        <v>504</v>
      </c>
      <c r="D95" s="19">
        <v>13</v>
      </c>
      <c r="E95" s="19" t="s">
        <v>283</v>
      </c>
      <c r="F95" s="19" t="s">
        <v>101</v>
      </c>
      <c r="G95" s="19" t="s">
        <v>284</v>
      </c>
      <c r="H95" s="19" t="s">
        <v>529</v>
      </c>
      <c r="I95" s="19" t="s">
        <v>300</v>
      </c>
    </row>
    <row r="96" customHeight="1" spans="2:9">
      <c r="B96" s="17" t="s">
        <v>530</v>
      </c>
      <c r="C96" s="18" t="s">
        <v>504</v>
      </c>
      <c r="D96" s="19">
        <v>12</v>
      </c>
      <c r="E96" s="19" t="s">
        <v>283</v>
      </c>
      <c r="F96" s="19" t="s">
        <v>278</v>
      </c>
      <c r="G96" s="19" t="s">
        <v>531</v>
      </c>
      <c r="H96" s="19" t="s">
        <v>532</v>
      </c>
      <c r="I96" s="19" t="s">
        <v>533</v>
      </c>
    </row>
    <row r="97" customHeight="1" spans="2:9">
      <c r="B97" s="17" t="s">
        <v>534</v>
      </c>
      <c r="C97" s="18" t="s">
        <v>535</v>
      </c>
      <c r="D97" s="19">
        <v>9</v>
      </c>
      <c r="E97" s="19" t="s">
        <v>283</v>
      </c>
      <c r="F97" s="19" t="s">
        <v>278</v>
      </c>
      <c r="G97" s="19" t="s">
        <v>377</v>
      </c>
      <c r="H97" s="19" t="s">
        <v>536</v>
      </c>
      <c r="I97" s="19" t="s">
        <v>281</v>
      </c>
    </row>
    <row r="98" customHeight="1" spans="2:9">
      <c r="B98" s="17" t="s">
        <v>537</v>
      </c>
      <c r="C98" s="18" t="s">
        <v>535</v>
      </c>
      <c r="D98" s="19">
        <v>13</v>
      </c>
      <c r="E98" s="19" t="s">
        <v>283</v>
      </c>
      <c r="F98" s="19" t="s">
        <v>101</v>
      </c>
      <c r="G98" s="19" t="s">
        <v>538</v>
      </c>
      <c r="H98" s="19" t="s">
        <v>539</v>
      </c>
      <c r="I98" s="19" t="s">
        <v>540</v>
      </c>
    </row>
    <row r="99" customHeight="1" spans="2:9">
      <c r="B99" s="17" t="s">
        <v>541</v>
      </c>
      <c r="C99" s="18" t="s">
        <v>535</v>
      </c>
      <c r="D99" s="19">
        <v>17</v>
      </c>
      <c r="E99" s="19" t="s">
        <v>283</v>
      </c>
      <c r="F99" s="19" t="s">
        <v>101</v>
      </c>
      <c r="G99" s="19" t="s">
        <v>538</v>
      </c>
      <c r="H99" s="19" t="s">
        <v>542</v>
      </c>
      <c r="I99" s="19" t="s">
        <v>543</v>
      </c>
    </row>
    <row r="100" customHeight="1" spans="2:9">
      <c r="B100" s="17" t="s">
        <v>544</v>
      </c>
      <c r="C100" s="18" t="s">
        <v>535</v>
      </c>
      <c r="D100" s="19">
        <v>13</v>
      </c>
      <c r="E100" s="19" t="s">
        <v>283</v>
      </c>
      <c r="F100" s="19" t="s">
        <v>278</v>
      </c>
      <c r="G100" s="19" t="s">
        <v>538</v>
      </c>
      <c r="H100" s="19" t="s">
        <v>545</v>
      </c>
      <c r="I100" s="19" t="s">
        <v>281</v>
      </c>
    </row>
    <row r="101" customHeight="1" spans="2:9">
      <c r="B101" s="17" t="s">
        <v>546</v>
      </c>
      <c r="C101" s="18" t="s">
        <v>535</v>
      </c>
      <c r="D101" s="19">
        <v>23</v>
      </c>
      <c r="E101" s="19" t="s">
        <v>547</v>
      </c>
      <c r="F101" s="19" t="s">
        <v>101</v>
      </c>
      <c r="G101" s="19" t="s">
        <v>335</v>
      </c>
      <c r="H101" s="20" t="s">
        <v>548</v>
      </c>
      <c r="I101" s="19" t="s">
        <v>281</v>
      </c>
    </row>
    <row r="102" customHeight="1" spans="2:9">
      <c r="B102" s="17" t="s">
        <v>549</v>
      </c>
      <c r="C102" s="18" t="s">
        <v>535</v>
      </c>
      <c r="D102" s="19">
        <v>14</v>
      </c>
      <c r="E102" s="19" t="s">
        <v>283</v>
      </c>
      <c r="F102" s="19" t="s">
        <v>278</v>
      </c>
      <c r="G102" s="19" t="s">
        <v>302</v>
      </c>
      <c r="H102" s="20" t="s">
        <v>550</v>
      </c>
      <c r="I102" s="19" t="s">
        <v>551</v>
      </c>
    </row>
    <row r="103" customHeight="1" spans="2:9">
      <c r="B103" s="17" t="s">
        <v>552</v>
      </c>
      <c r="C103" s="18" t="s">
        <v>535</v>
      </c>
      <c r="D103" s="19">
        <v>11</v>
      </c>
      <c r="E103" s="19" t="s">
        <v>341</v>
      </c>
      <c r="F103" s="19" t="s">
        <v>278</v>
      </c>
      <c r="G103" s="19" t="s">
        <v>454</v>
      </c>
      <c r="H103" s="19" t="s">
        <v>553</v>
      </c>
      <c r="I103" s="19" t="s">
        <v>281</v>
      </c>
    </row>
    <row r="104" customHeight="1" spans="2:9">
      <c r="B104" s="17" t="s">
        <v>554</v>
      </c>
      <c r="C104" s="18" t="s">
        <v>535</v>
      </c>
      <c r="D104" s="19">
        <v>18</v>
      </c>
      <c r="E104" s="19" t="s">
        <v>283</v>
      </c>
      <c r="F104" s="19" t="s">
        <v>101</v>
      </c>
      <c r="G104" s="19" t="s">
        <v>284</v>
      </c>
      <c r="H104" s="19" t="s">
        <v>555</v>
      </c>
      <c r="I104" s="19" t="s">
        <v>556</v>
      </c>
    </row>
    <row r="105" customHeight="1" spans="2:9">
      <c r="B105" s="17" t="s">
        <v>557</v>
      </c>
      <c r="C105" s="18" t="s">
        <v>535</v>
      </c>
      <c r="D105" s="19">
        <v>21</v>
      </c>
      <c r="E105" s="19" t="s">
        <v>277</v>
      </c>
      <c r="F105" s="19" t="s">
        <v>278</v>
      </c>
      <c r="G105" s="19" t="s">
        <v>279</v>
      </c>
      <c r="H105" s="19" t="s">
        <v>558</v>
      </c>
      <c r="I105" s="19" t="s">
        <v>281</v>
      </c>
    </row>
    <row r="106" customHeight="1" spans="2:9">
      <c r="B106" s="17" t="s">
        <v>559</v>
      </c>
      <c r="C106" s="18" t="s">
        <v>535</v>
      </c>
      <c r="D106" s="19">
        <v>24</v>
      </c>
      <c r="E106" s="19" t="s">
        <v>283</v>
      </c>
      <c r="F106" s="19" t="s">
        <v>278</v>
      </c>
      <c r="G106" s="19" t="s">
        <v>538</v>
      </c>
      <c r="H106" s="19" t="s">
        <v>560</v>
      </c>
      <c r="I106" s="19" t="s">
        <v>543</v>
      </c>
    </row>
    <row r="107" customHeight="1" spans="2:9">
      <c r="B107" s="17" t="s">
        <v>561</v>
      </c>
      <c r="C107" s="18" t="s">
        <v>535</v>
      </c>
      <c r="D107" s="19">
        <v>26</v>
      </c>
      <c r="E107" s="19" t="s">
        <v>547</v>
      </c>
      <c r="F107" s="19" t="s">
        <v>101</v>
      </c>
      <c r="G107" s="19" t="s">
        <v>335</v>
      </c>
      <c r="H107" s="19" t="s">
        <v>562</v>
      </c>
      <c r="I107" s="19" t="s">
        <v>563</v>
      </c>
    </row>
    <row r="108" customHeight="1" spans="2:9">
      <c r="B108" s="17" t="s">
        <v>564</v>
      </c>
      <c r="C108" s="18" t="s">
        <v>535</v>
      </c>
      <c r="D108" s="19">
        <v>19</v>
      </c>
      <c r="E108" s="19" t="s">
        <v>283</v>
      </c>
      <c r="F108" s="19" t="s">
        <v>101</v>
      </c>
      <c r="G108" s="19" t="s">
        <v>565</v>
      </c>
      <c r="H108" s="19" t="s">
        <v>566</v>
      </c>
      <c r="I108" s="19" t="s">
        <v>563</v>
      </c>
    </row>
    <row r="109" customHeight="1" spans="2:9">
      <c r="B109" s="17" t="s">
        <v>567</v>
      </c>
      <c r="C109" s="18" t="s">
        <v>535</v>
      </c>
      <c r="D109" s="19">
        <v>18</v>
      </c>
      <c r="E109" s="19" t="s">
        <v>277</v>
      </c>
      <c r="F109" s="19" t="s">
        <v>101</v>
      </c>
      <c r="G109" s="19" t="s">
        <v>284</v>
      </c>
      <c r="H109" s="20" t="s">
        <v>568</v>
      </c>
      <c r="I109" s="19" t="s">
        <v>281</v>
      </c>
    </row>
    <row r="110" customHeight="1" spans="2:9">
      <c r="B110" s="17" t="s">
        <v>569</v>
      </c>
      <c r="C110" s="18" t="s">
        <v>251</v>
      </c>
      <c r="D110" s="19">
        <v>13</v>
      </c>
      <c r="E110" s="19" t="s">
        <v>277</v>
      </c>
      <c r="F110" s="19" t="s">
        <v>570</v>
      </c>
      <c r="G110" s="19" t="s">
        <v>279</v>
      </c>
      <c r="H110" s="20" t="s">
        <v>571</v>
      </c>
      <c r="I110" s="19" t="s">
        <v>572</v>
      </c>
    </row>
    <row r="111" customHeight="1" spans="2:9">
      <c r="B111" s="17" t="s">
        <v>573</v>
      </c>
      <c r="C111" s="18" t="s">
        <v>251</v>
      </c>
      <c r="D111" s="19">
        <v>15</v>
      </c>
      <c r="E111" s="19" t="s">
        <v>283</v>
      </c>
      <c r="F111" s="19" t="s">
        <v>101</v>
      </c>
      <c r="G111" s="19" t="s">
        <v>279</v>
      </c>
      <c r="H111" s="20" t="s">
        <v>574</v>
      </c>
      <c r="I111" s="19" t="s">
        <v>575</v>
      </c>
    </row>
    <row r="112" customHeight="1" spans="2:9">
      <c r="B112" s="17" t="s">
        <v>576</v>
      </c>
      <c r="C112" s="18" t="s">
        <v>251</v>
      </c>
      <c r="D112" s="19">
        <v>11</v>
      </c>
      <c r="E112" s="19" t="s">
        <v>283</v>
      </c>
      <c r="F112" s="19" t="s">
        <v>278</v>
      </c>
      <c r="G112" s="19" t="s">
        <v>577</v>
      </c>
      <c r="H112" s="20" t="s">
        <v>578</v>
      </c>
      <c r="I112" s="20" t="s">
        <v>579</v>
      </c>
    </row>
    <row r="113" customHeight="1" spans="2:9">
      <c r="B113" s="17" t="s">
        <v>580</v>
      </c>
      <c r="C113" s="18" t="s">
        <v>251</v>
      </c>
      <c r="D113" s="19">
        <v>13</v>
      </c>
      <c r="E113" s="19" t="s">
        <v>283</v>
      </c>
      <c r="F113" s="19" t="s">
        <v>278</v>
      </c>
      <c r="G113" s="19" t="s">
        <v>581</v>
      </c>
      <c r="H113" s="20" t="s">
        <v>582</v>
      </c>
      <c r="I113" s="19" t="s">
        <v>583</v>
      </c>
    </row>
    <row r="114" customHeight="1" spans="2:9">
      <c r="B114" s="17" t="s">
        <v>584</v>
      </c>
      <c r="C114" s="18" t="s">
        <v>585</v>
      </c>
      <c r="D114" s="19">
        <v>23</v>
      </c>
      <c r="E114" s="19" t="s">
        <v>277</v>
      </c>
      <c r="F114" s="19" t="s">
        <v>101</v>
      </c>
      <c r="G114" s="19" t="s">
        <v>288</v>
      </c>
      <c r="H114" s="20" t="s">
        <v>586</v>
      </c>
      <c r="I114" s="20" t="s">
        <v>587</v>
      </c>
    </row>
    <row r="115" customHeight="1" spans="2:9">
      <c r="B115" s="17" t="s">
        <v>588</v>
      </c>
      <c r="C115" s="18" t="s">
        <v>585</v>
      </c>
      <c r="D115" s="19" t="s">
        <v>570</v>
      </c>
      <c r="E115" s="19" t="s">
        <v>277</v>
      </c>
      <c r="F115" s="19" t="s">
        <v>101</v>
      </c>
      <c r="G115" s="19" t="s">
        <v>589</v>
      </c>
      <c r="H115" s="20" t="s">
        <v>590</v>
      </c>
      <c r="I115" s="19" t="s">
        <v>591</v>
      </c>
    </row>
    <row r="116" customHeight="1" spans="2:9">
      <c r="B116" s="17" t="s">
        <v>592</v>
      </c>
      <c r="C116" s="18" t="s">
        <v>585</v>
      </c>
      <c r="D116" s="19">
        <v>22</v>
      </c>
      <c r="E116" s="19" t="s">
        <v>283</v>
      </c>
      <c r="F116" s="19" t="s">
        <v>101</v>
      </c>
      <c r="G116" s="19" t="s">
        <v>593</v>
      </c>
      <c r="H116" s="19" t="s">
        <v>594</v>
      </c>
      <c r="I116" s="19" t="s">
        <v>595</v>
      </c>
    </row>
    <row r="117" customHeight="1" spans="2:9">
      <c r="B117" s="17" t="s">
        <v>596</v>
      </c>
      <c r="C117" s="18" t="s">
        <v>585</v>
      </c>
      <c r="D117" s="19">
        <v>25</v>
      </c>
      <c r="E117" s="19" t="s">
        <v>277</v>
      </c>
      <c r="F117" s="19" t="s">
        <v>278</v>
      </c>
      <c r="G117" s="19" t="s">
        <v>581</v>
      </c>
      <c r="H117" s="20" t="s">
        <v>597</v>
      </c>
      <c r="I117" s="19" t="s">
        <v>598</v>
      </c>
    </row>
    <row r="118" customHeight="1" spans="2:9">
      <c r="B118" s="17" t="s">
        <v>599</v>
      </c>
      <c r="C118" s="18" t="s">
        <v>585</v>
      </c>
      <c r="D118" s="19">
        <v>18</v>
      </c>
      <c r="E118" s="19" t="s">
        <v>277</v>
      </c>
      <c r="F118" s="19" t="s">
        <v>278</v>
      </c>
      <c r="G118" s="19" t="s">
        <v>600</v>
      </c>
      <c r="H118" s="20" t="s">
        <v>601</v>
      </c>
      <c r="I118" s="19" t="s">
        <v>602</v>
      </c>
    </row>
    <row r="119" customHeight="1" spans="2:9">
      <c r="B119" s="17" t="s">
        <v>603</v>
      </c>
      <c r="C119" s="18" t="s">
        <v>585</v>
      </c>
      <c r="D119" s="19">
        <v>20</v>
      </c>
      <c r="E119" s="19" t="s">
        <v>277</v>
      </c>
      <c r="F119" s="19" t="s">
        <v>278</v>
      </c>
      <c r="G119" s="19" t="s">
        <v>279</v>
      </c>
      <c r="H119" s="20" t="s">
        <v>604</v>
      </c>
      <c r="I119" s="19" t="s">
        <v>605</v>
      </c>
    </row>
    <row r="120" customHeight="1" spans="2:9">
      <c r="B120" s="17" t="s">
        <v>606</v>
      </c>
      <c r="C120" s="18" t="s">
        <v>585</v>
      </c>
      <c r="D120" s="19">
        <v>28</v>
      </c>
      <c r="E120" s="19" t="s">
        <v>277</v>
      </c>
      <c r="F120" s="19" t="s">
        <v>101</v>
      </c>
      <c r="G120" s="19" t="s">
        <v>607</v>
      </c>
      <c r="H120" s="20" t="s">
        <v>608</v>
      </c>
      <c r="I120" s="19" t="s">
        <v>281</v>
      </c>
    </row>
    <row r="121" customHeight="1" spans="2:9">
      <c r="B121" s="17" t="s">
        <v>609</v>
      </c>
      <c r="C121" s="18" t="s">
        <v>585</v>
      </c>
      <c r="D121" s="19">
        <v>20</v>
      </c>
      <c r="E121" s="19" t="s">
        <v>283</v>
      </c>
      <c r="F121" s="19" t="s">
        <v>101</v>
      </c>
      <c r="G121" s="19" t="s">
        <v>607</v>
      </c>
      <c r="H121" s="20" t="s">
        <v>610</v>
      </c>
      <c r="I121" s="19" t="s">
        <v>281</v>
      </c>
    </row>
    <row r="122" customHeight="1" spans="2:9">
      <c r="B122" s="17" t="s">
        <v>611</v>
      </c>
      <c r="C122" s="18" t="s">
        <v>585</v>
      </c>
      <c r="D122" s="19">
        <v>18</v>
      </c>
      <c r="E122" s="19" t="s">
        <v>283</v>
      </c>
      <c r="F122" s="19" t="s">
        <v>101</v>
      </c>
      <c r="G122" s="19" t="s">
        <v>284</v>
      </c>
      <c r="H122" s="19" t="s">
        <v>612</v>
      </c>
      <c r="I122" s="19" t="s">
        <v>281</v>
      </c>
    </row>
    <row r="123" customHeight="1" spans="2:9">
      <c r="B123" s="17" t="s">
        <v>613</v>
      </c>
      <c r="C123" s="18" t="s">
        <v>585</v>
      </c>
      <c r="D123" s="19">
        <v>14</v>
      </c>
      <c r="E123" s="19" t="s">
        <v>283</v>
      </c>
      <c r="F123" s="19" t="s">
        <v>278</v>
      </c>
      <c r="G123" s="19" t="s">
        <v>279</v>
      </c>
      <c r="H123" s="20" t="s">
        <v>614</v>
      </c>
      <c r="I123" s="19" t="s">
        <v>281</v>
      </c>
    </row>
    <row r="124" customHeight="1" spans="2:9">
      <c r="B124" s="17" t="s">
        <v>615</v>
      </c>
      <c r="C124" s="18" t="s">
        <v>585</v>
      </c>
      <c r="D124" s="19">
        <v>18</v>
      </c>
      <c r="E124" s="19" t="s">
        <v>283</v>
      </c>
      <c r="F124" s="19" t="s">
        <v>101</v>
      </c>
      <c r="G124" s="19" t="s">
        <v>279</v>
      </c>
      <c r="H124" s="20" t="s">
        <v>616</v>
      </c>
      <c r="I124" s="19" t="s">
        <v>281</v>
      </c>
    </row>
    <row r="125" customHeight="1" spans="2:9">
      <c r="B125" s="17" t="s">
        <v>617</v>
      </c>
      <c r="C125" s="18" t="s">
        <v>585</v>
      </c>
      <c r="D125" s="19">
        <v>24</v>
      </c>
      <c r="E125" s="19" t="s">
        <v>283</v>
      </c>
      <c r="F125" s="19" t="s">
        <v>101</v>
      </c>
      <c r="G125" s="19" t="s">
        <v>279</v>
      </c>
      <c r="H125" s="19" t="s">
        <v>618</v>
      </c>
      <c r="I125" s="19" t="s">
        <v>281</v>
      </c>
    </row>
    <row r="126" customHeight="1" spans="2:9">
      <c r="B126" s="17" t="s">
        <v>619</v>
      </c>
      <c r="C126" s="18" t="s">
        <v>585</v>
      </c>
      <c r="D126" s="19">
        <v>21</v>
      </c>
      <c r="E126" s="19" t="s">
        <v>277</v>
      </c>
      <c r="F126" s="19" t="s">
        <v>101</v>
      </c>
      <c r="G126" s="19" t="s">
        <v>335</v>
      </c>
      <c r="H126" s="19" t="s">
        <v>620</v>
      </c>
      <c r="I126" s="19" t="s">
        <v>281</v>
      </c>
    </row>
    <row r="127" customHeight="1" spans="2:9">
      <c r="B127" s="17" t="s">
        <v>621</v>
      </c>
      <c r="C127" s="18" t="s">
        <v>585</v>
      </c>
      <c r="D127" s="19">
        <v>24</v>
      </c>
      <c r="E127" s="19" t="s">
        <v>277</v>
      </c>
      <c r="F127" s="19" t="s">
        <v>278</v>
      </c>
      <c r="G127" s="19" t="s">
        <v>279</v>
      </c>
      <c r="H127" s="19" t="s">
        <v>622</v>
      </c>
      <c r="I127" s="19" t="s">
        <v>281</v>
      </c>
    </row>
    <row r="128" customHeight="1" spans="2:9">
      <c r="B128" s="17" t="s">
        <v>623</v>
      </c>
      <c r="C128" s="18" t="s">
        <v>585</v>
      </c>
      <c r="D128" s="19">
        <v>14</v>
      </c>
      <c r="E128" s="19" t="s">
        <v>283</v>
      </c>
      <c r="F128" s="19" t="s">
        <v>101</v>
      </c>
      <c r="G128" s="19" t="s">
        <v>335</v>
      </c>
      <c r="H128" s="19" t="s">
        <v>624</v>
      </c>
      <c r="I128" s="19" t="s">
        <v>281</v>
      </c>
    </row>
    <row r="129" customHeight="1" spans="2:9">
      <c r="B129" s="17" t="s">
        <v>625</v>
      </c>
      <c r="C129" s="18" t="s">
        <v>585</v>
      </c>
      <c r="D129" s="19">
        <v>19</v>
      </c>
      <c r="E129" s="19" t="s">
        <v>283</v>
      </c>
      <c r="F129" s="19" t="s">
        <v>101</v>
      </c>
      <c r="G129" s="19" t="s">
        <v>607</v>
      </c>
      <c r="H129" s="19" t="s">
        <v>626</v>
      </c>
      <c r="I129" s="19" t="s">
        <v>281</v>
      </c>
    </row>
    <row r="130" customHeight="1" spans="2:9">
      <c r="B130" s="17" t="s">
        <v>627</v>
      </c>
      <c r="C130" s="18" t="s">
        <v>585</v>
      </c>
      <c r="D130" s="19">
        <v>24</v>
      </c>
      <c r="E130" s="19" t="s">
        <v>277</v>
      </c>
      <c r="F130" s="19" t="s">
        <v>278</v>
      </c>
      <c r="G130" s="19" t="s">
        <v>284</v>
      </c>
      <c r="H130" s="20" t="s">
        <v>628</v>
      </c>
      <c r="I130" s="19" t="s">
        <v>629</v>
      </c>
    </row>
    <row r="131" customHeight="1" spans="2:9">
      <c r="B131" s="17" t="s">
        <v>630</v>
      </c>
      <c r="C131" s="18" t="s">
        <v>585</v>
      </c>
      <c r="D131" s="19">
        <v>19</v>
      </c>
      <c r="E131" s="19" t="s">
        <v>283</v>
      </c>
      <c r="F131" s="19" t="s">
        <v>101</v>
      </c>
      <c r="G131" s="19" t="s">
        <v>607</v>
      </c>
      <c r="H131" s="20" t="s">
        <v>631</v>
      </c>
      <c r="I131" s="19" t="s">
        <v>281</v>
      </c>
    </row>
    <row r="132" customHeight="1" spans="2:9">
      <c r="B132" s="17" t="s">
        <v>632</v>
      </c>
      <c r="C132" s="18" t="s">
        <v>585</v>
      </c>
      <c r="D132" s="19">
        <v>24</v>
      </c>
      <c r="E132" s="19" t="s">
        <v>277</v>
      </c>
      <c r="F132" s="19" t="s">
        <v>278</v>
      </c>
      <c r="G132" s="19" t="s">
        <v>633</v>
      </c>
      <c r="H132" s="20" t="s">
        <v>634</v>
      </c>
      <c r="I132" s="19" t="s">
        <v>281</v>
      </c>
    </row>
    <row r="133" customHeight="1" spans="2:9">
      <c r="B133" s="17" t="s">
        <v>635</v>
      </c>
      <c r="C133" s="18" t="s">
        <v>585</v>
      </c>
      <c r="D133" s="19">
        <v>27</v>
      </c>
      <c r="E133" s="19" t="s">
        <v>277</v>
      </c>
      <c r="F133" s="19" t="s">
        <v>101</v>
      </c>
      <c r="G133" s="19" t="s">
        <v>577</v>
      </c>
      <c r="H133" s="19" t="s">
        <v>636</v>
      </c>
      <c r="I133" s="19" t="s">
        <v>281</v>
      </c>
    </row>
    <row r="134" customHeight="1" spans="2:9">
      <c r="B134" s="17" t="s">
        <v>637</v>
      </c>
      <c r="C134" s="18" t="s">
        <v>585</v>
      </c>
      <c r="D134" s="19">
        <v>21</v>
      </c>
      <c r="E134" s="19" t="s">
        <v>283</v>
      </c>
      <c r="F134" s="19" t="s">
        <v>101</v>
      </c>
      <c r="G134" s="19" t="s">
        <v>284</v>
      </c>
      <c r="H134" s="19" t="s">
        <v>638</v>
      </c>
      <c r="I134" s="19" t="s">
        <v>281</v>
      </c>
    </row>
    <row r="135" customHeight="1" spans="2:9">
      <c r="B135" s="17" t="s">
        <v>639</v>
      </c>
      <c r="C135" s="18" t="s">
        <v>585</v>
      </c>
      <c r="D135" s="19">
        <v>16</v>
      </c>
      <c r="E135" s="19" t="s">
        <v>283</v>
      </c>
      <c r="F135" s="19" t="s">
        <v>101</v>
      </c>
      <c r="G135" s="19" t="s">
        <v>577</v>
      </c>
      <c r="H135" s="20" t="s">
        <v>640</v>
      </c>
      <c r="I135" s="19" t="s">
        <v>641</v>
      </c>
    </row>
    <row r="136" customHeight="1" spans="2:9">
      <c r="B136" s="17" t="s">
        <v>642</v>
      </c>
      <c r="C136" s="18" t="s">
        <v>585</v>
      </c>
      <c r="D136" s="19">
        <v>14</v>
      </c>
      <c r="E136" s="19" t="s">
        <v>283</v>
      </c>
      <c r="F136" s="19" t="s">
        <v>101</v>
      </c>
      <c r="G136" s="19" t="s">
        <v>335</v>
      </c>
      <c r="H136" s="20" t="s">
        <v>643</v>
      </c>
      <c r="I136" s="19" t="s">
        <v>281</v>
      </c>
    </row>
    <row r="137" customHeight="1" spans="2:9">
      <c r="B137" s="13" t="s">
        <v>644</v>
      </c>
      <c r="C137" s="18" t="s">
        <v>645</v>
      </c>
      <c r="D137" s="19">
        <v>28</v>
      </c>
      <c r="E137" s="19" t="s">
        <v>277</v>
      </c>
      <c r="F137" s="19" t="s">
        <v>278</v>
      </c>
      <c r="G137" s="19" t="s">
        <v>646</v>
      </c>
      <c r="H137" s="20" t="s">
        <v>647</v>
      </c>
      <c r="I137" s="19" t="s">
        <v>598</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K11" sqref="K11:M13"/>
    </sheetView>
  </sheetViews>
  <sheetFormatPr defaultColWidth="9" defaultRowHeight="14" outlineLevelCol="6"/>
  <cols>
    <col min="1" max="4" width="12.4166666666667" style="6" customWidth="1"/>
    <col min="5" max="6" width="20.5" style="6" customWidth="1"/>
    <col min="7" max="16384" width="9" style="7"/>
  </cols>
  <sheetData>
    <row r="1" spans="1:7">
      <c r="A1" s="8" t="s">
        <v>648</v>
      </c>
      <c r="B1" s="8" t="s">
        <v>20</v>
      </c>
      <c r="C1" s="8" t="s">
        <v>649</v>
      </c>
      <c r="D1" s="8" t="s">
        <v>650</v>
      </c>
      <c r="E1" s="8" t="s">
        <v>17</v>
      </c>
      <c r="F1" s="8" t="s">
        <v>651</v>
      </c>
      <c r="G1" s="8" t="s">
        <v>652</v>
      </c>
    </row>
    <row r="2" spans="1:7">
      <c r="A2" s="9" t="s">
        <v>653</v>
      </c>
      <c r="B2" s="8">
        <v>100</v>
      </c>
      <c r="C2" s="8">
        <v>1</v>
      </c>
      <c r="D2" s="8" t="s">
        <v>654</v>
      </c>
      <c r="E2" s="8" t="s">
        <v>655</v>
      </c>
      <c r="F2" s="8">
        <v>50</v>
      </c>
      <c r="G2" s="8">
        <v>5</v>
      </c>
    </row>
    <row r="3" spans="1:7">
      <c r="A3" s="9" t="s">
        <v>656</v>
      </c>
      <c r="B3" s="8">
        <v>50</v>
      </c>
      <c r="C3" s="8">
        <v>2</v>
      </c>
      <c r="D3" s="8" t="s">
        <v>654</v>
      </c>
      <c r="E3" s="8" t="s">
        <v>657</v>
      </c>
      <c r="F3" s="8">
        <v>70</v>
      </c>
      <c r="G3" s="8">
        <v>7</v>
      </c>
    </row>
    <row r="4" spans="1:7">
      <c r="A4" s="9" t="s">
        <v>658</v>
      </c>
      <c r="B4" s="8">
        <v>120</v>
      </c>
      <c r="C4" s="8">
        <v>3</v>
      </c>
      <c r="D4" s="8" t="s">
        <v>654</v>
      </c>
      <c r="E4" s="8" t="s">
        <v>659</v>
      </c>
      <c r="F4" s="8">
        <v>100</v>
      </c>
      <c r="G4" s="8">
        <v>10</v>
      </c>
    </row>
    <row r="5" spans="1:7">
      <c r="A5" s="9" t="s">
        <v>660</v>
      </c>
      <c r="B5" s="8">
        <v>300</v>
      </c>
      <c r="C5" s="8">
        <v>5</v>
      </c>
      <c r="D5" s="8" t="s">
        <v>654</v>
      </c>
      <c r="E5" s="8" t="s">
        <v>661</v>
      </c>
      <c r="F5" s="8">
        <v>120</v>
      </c>
      <c r="G5" s="8">
        <v>12</v>
      </c>
    </row>
    <row r="6" spans="1:7">
      <c r="A6" s="9" t="s">
        <v>662</v>
      </c>
      <c r="B6" s="8">
        <v>70</v>
      </c>
      <c r="C6" s="8">
        <v>1</v>
      </c>
      <c r="D6" s="8" t="s">
        <v>654</v>
      </c>
      <c r="E6" s="8" t="s">
        <v>663</v>
      </c>
      <c r="F6" s="8">
        <v>150</v>
      </c>
      <c r="G6" s="8">
        <v>15</v>
      </c>
    </row>
    <row r="7" spans="1:7">
      <c r="A7" s="9" t="s">
        <v>664</v>
      </c>
      <c r="B7" s="8">
        <v>50</v>
      </c>
      <c r="C7" s="8">
        <v>1</v>
      </c>
      <c r="D7" s="8" t="s">
        <v>665</v>
      </c>
      <c r="E7" s="8" t="s">
        <v>666</v>
      </c>
      <c r="F7" s="8">
        <v>200</v>
      </c>
      <c r="G7" s="8">
        <v>20</v>
      </c>
    </row>
    <row r="8" spans="1:7">
      <c r="A8" s="9" t="s">
        <v>667</v>
      </c>
      <c r="B8" s="8">
        <v>10</v>
      </c>
      <c r="C8" s="8">
        <v>1</v>
      </c>
      <c r="D8" s="8" t="s">
        <v>665</v>
      </c>
      <c r="E8" s="8" t="s">
        <v>668</v>
      </c>
      <c r="F8" s="8">
        <v>500</v>
      </c>
      <c r="G8" s="8">
        <v>50</v>
      </c>
    </row>
    <row r="9" spans="1:7">
      <c r="A9" s="9" t="s">
        <v>669</v>
      </c>
      <c r="B9" s="8">
        <v>150</v>
      </c>
      <c r="C9" s="8">
        <v>1</v>
      </c>
      <c r="D9" s="8" t="s">
        <v>654</v>
      </c>
    </row>
    <row r="10" spans="1:7">
      <c r="A10" s="9" t="s">
        <v>670</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topLeftCell="B1" workbookViewId="0">
      <selection activeCell="G11" sqref="G11"/>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671</v>
      </c>
      <c r="B1" s="2" t="s">
        <v>22</v>
      </c>
      <c r="C1" s="2" t="s">
        <v>91</v>
      </c>
      <c r="D1" s="3" t="s">
        <v>672</v>
      </c>
      <c r="E1" s="3" t="s">
        <v>92</v>
      </c>
      <c r="F1" s="3" t="s">
        <v>93</v>
      </c>
      <c r="G1" s="3" t="s">
        <v>673</v>
      </c>
      <c r="H1" s="4" t="s">
        <v>674</v>
      </c>
      <c r="I1" s="4" t="s">
        <v>675</v>
      </c>
      <c r="J1" s="4" t="s">
        <v>676</v>
      </c>
      <c r="K1" s="4" t="s">
        <v>677</v>
      </c>
      <c r="L1" s="4" t="s">
        <v>82</v>
      </c>
      <c r="M1" s="4" t="s">
        <v>83</v>
      </c>
      <c r="N1" s="4" t="s">
        <v>84</v>
      </c>
      <c r="O1" s="4" t="s">
        <v>85</v>
      </c>
      <c r="P1" s="3" t="s">
        <v>678</v>
      </c>
      <c r="Q1" s="3" t="s">
        <v>679</v>
      </c>
      <c r="R1" s="5" t="s">
        <v>680</v>
      </c>
      <c r="S1" s="1" t="str" cm="1">
        <f t="array" ref="S1:S9">_xlfn.UNIQUE(灵能表[灵能类别])</f>
        <v>次级灵能</v>
      </c>
      <c r="T1" s="1" t="str" cm="1">
        <f t="array" ref="T1">IFERROR(_xlfn._xlws.FILTER(灵能表[灵能名称],灵能表[灵能类别]=灵能!E11),"")</f>
        <v/>
      </c>
    </row>
    <row r="2" ht="18" customHeight="1" spans="1:20">
      <c r="A2" s="2">
        <v>1</v>
      </c>
      <c r="B2" s="2" t="s">
        <v>681</v>
      </c>
      <c r="C2" s="2">
        <v>0</v>
      </c>
      <c r="D2" s="3">
        <v>0.9</v>
      </c>
      <c r="E2" s="3">
        <v>2.25</v>
      </c>
      <c r="F2" s="3">
        <v>4.5</v>
      </c>
      <c r="G2" s="3" t="s">
        <v>183</v>
      </c>
      <c r="H2" s="3">
        <v>0</v>
      </c>
      <c r="I2" s="3">
        <v>0</v>
      </c>
      <c r="J2" s="3">
        <v>0</v>
      </c>
      <c r="K2" s="3">
        <v>0</v>
      </c>
      <c r="L2" s="3">
        <f t="shared" ref="L2:L12" si="0">6*H2</f>
        <v>0</v>
      </c>
      <c r="M2" s="3" t="s">
        <v>498</v>
      </c>
      <c r="N2" s="3" t="s">
        <v>682</v>
      </c>
      <c r="O2" s="3" t="s">
        <v>683</v>
      </c>
      <c r="P2" s="3" t="s">
        <v>684</v>
      </c>
      <c r="Q2" s="3">
        <v>-30</v>
      </c>
      <c r="R2" s="4" t="s">
        <v>685</v>
      </c>
      <c r="S2" s="1" t="str">
        <v>生化学科</v>
      </c>
    </row>
    <row r="3" ht="18" customHeight="1" spans="1:20">
      <c r="A3" s="2">
        <v>2</v>
      </c>
      <c r="B3" s="2" t="s">
        <v>686</v>
      </c>
      <c r="C3" s="2">
        <v>1</v>
      </c>
      <c r="D3" s="3">
        <v>2.25</v>
      </c>
      <c r="E3" s="3">
        <v>4.5</v>
      </c>
      <c r="F3" s="3">
        <v>9</v>
      </c>
      <c r="G3" s="3" t="s">
        <v>189</v>
      </c>
      <c r="H3" s="3">
        <v>1</v>
      </c>
      <c r="I3" s="3">
        <v>1</v>
      </c>
      <c r="J3" s="3">
        <v>2</v>
      </c>
      <c r="K3" s="3">
        <v>3</v>
      </c>
      <c r="L3" s="3">
        <f t="shared" si="0"/>
        <v>6</v>
      </c>
      <c r="M3" s="3" t="s">
        <v>687</v>
      </c>
      <c r="N3" s="3" t="s">
        <v>688</v>
      </c>
      <c r="O3" s="3" t="s">
        <v>689</v>
      </c>
      <c r="P3" s="3" t="s">
        <v>690</v>
      </c>
      <c r="Q3" s="3">
        <v>-20</v>
      </c>
      <c r="R3" s="3" t="s">
        <v>691</v>
      </c>
      <c r="S3" s="1" t="str">
        <v>预言学科</v>
      </c>
    </row>
    <row r="4" ht="18" customHeight="1" spans="1:20">
      <c r="A4" s="2">
        <v>3</v>
      </c>
      <c r="B4" s="2" t="s">
        <v>686</v>
      </c>
      <c r="C4" s="2">
        <v>2</v>
      </c>
      <c r="D4" s="3">
        <v>4.5</v>
      </c>
      <c r="E4" s="3">
        <v>9</v>
      </c>
      <c r="F4" s="3">
        <v>18</v>
      </c>
      <c r="G4" s="3" t="s">
        <v>116</v>
      </c>
      <c r="H4" s="3">
        <v>2</v>
      </c>
      <c r="I4" s="3">
        <v>2</v>
      </c>
      <c r="J4" s="3">
        <v>4</v>
      </c>
      <c r="K4" s="3">
        <v>6</v>
      </c>
      <c r="L4" s="3">
        <f t="shared" si="0"/>
        <v>12</v>
      </c>
      <c r="M4" s="3" t="s">
        <v>692</v>
      </c>
      <c r="N4" s="3" t="s">
        <v>693</v>
      </c>
      <c r="O4" s="3" t="s">
        <v>694</v>
      </c>
      <c r="P4" s="3" t="s">
        <v>695</v>
      </c>
      <c r="Q4" s="3">
        <v>-10</v>
      </c>
      <c r="R4" s="3" t="s">
        <v>696</v>
      </c>
      <c r="S4" s="1" t="str">
        <v>操火学科</v>
      </c>
    </row>
    <row r="5" ht="18" customHeight="1" spans="1:20">
      <c r="A5" s="2">
        <v>4</v>
      </c>
      <c r="B5" s="2" t="s">
        <v>697</v>
      </c>
      <c r="C5" s="2">
        <v>3</v>
      </c>
      <c r="D5" s="3">
        <v>9</v>
      </c>
      <c r="E5" s="3">
        <f>2*D5</f>
        <v>18</v>
      </c>
      <c r="F5" s="3">
        <f>2*E5</f>
        <v>36</v>
      </c>
      <c r="G5" s="3" t="s">
        <v>120</v>
      </c>
      <c r="H5" s="3">
        <v>3</v>
      </c>
      <c r="I5" s="3">
        <v>3</v>
      </c>
      <c r="J5" s="3">
        <v>6</v>
      </c>
      <c r="K5" s="3">
        <v>9</v>
      </c>
      <c r="L5" s="3">
        <f t="shared" si="0"/>
        <v>18</v>
      </c>
      <c r="M5" s="3" t="s">
        <v>698</v>
      </c>
      <c r="N5" s="3" t="s">
        <v>699</v>
      </c>
      <c r="O5" s="3" t="s">
        <v>700</v>
      </c>
      <c r="P5" s="3" t="s">
        <v>701</v>
      </c>
      <c r="Q5" s="3">
        <v>0</v>
      </c>
      <c r="R5" s="3" t="s">
        <v>702</v>
      </c>
      <c r="S5" s="1" t="str">
        <v>遥感学科</v>
      </c>
    </row>
    <row r="6" ht="18" customHeight="1" spans="1:20">
      <c r="A6" s="2">
        <v>5</v>
      </c>
      <c r="B6" s="2" t="s">
        <v>697</v>
      </c>
      <c r="C6" s="2">
        <v>4</v>
      </c>
      <c r="D6" s="3">
        <v>18</v>
      </c>
      <c r="E6" s="3">
        <v>36</v>
      </c>
      <c r="F6" s="3">
        <v>72</v>
      </c>
      <c r="G6" s="3" t="s">
        <v>703</v>
      </c>
      <c r="H6" s="3">
        <v>4</v>
      </c>
      <c r="I6" s="3">
        <v>4</v>
      </c>
      <c r="J6" s="3">
        <v>8</v>
      </c>
      <c r="K6" s="3">
        <v>12</v>
      </c>
      <c r="L6" s="3">
        <f t="shared" si="0"/>
        <v>24</v>
      </c>
      <c r="M6" s="3" t="s">
        <v>704</v>
      </c>
      <c r="N6" s="3" t="s">
        <v>705</v>
      </c>
      <c r="O6" s="3" t="s">
        <v>706</v>
      </c>
      <c r="P6" s="3" t="s">
        <v>707</v>
      </c>
      <c r="Q6" s="3">
        <v>10</v>
      </c>
      <c r="R6" s="3" t="s">
        <v>708</v>
      </c>
      <c r="S6" s="1" t="str">
        <v>传心学科</v>
      </c>
    </row>
    <row r="7" ht="18" customHeight="1" spans="1:20">
      <c r="A7" s="2">
        <v>6</v>
      </c>
      <c r="B7" s="2" t="s">
        <v>697</v>
      </c>
      <c r="C7" s="2">
        <v>5</v>
      </c>
      <c r="D7" s="3">
        <v>27</v>
      </c>
      <c r="E7" s="3">
        <v>54</v>
      </c>
      <c r="F7" s="3">
        <v>108</v>
      </c>
      <c r="G7" s="3" t="s">
        <v>709</v>
      </c>
      <c r="H7" s="3">
        <v>5</v>
      </c>
      <c r="I7" s="3">
        <v>5</v>
      </c>
      <c r="J7" s="3">
        <v>10</v>
      </c>
      <c r="K7" s="3">
        <v>15</v>
      </c>
      <c r="L7" s="3">
        <f t="shared" si="0"/>
        <v>30</v>
      </c>
      <c r="M7" s="3" t="s">
        <v>710</v>
      </c>
      <c r="N7" s="3" t="s">
        <v>683</v>
      </c>
      <c r="O7" s="3" t="s">
        <v>711</v>
      </c>
      <c r="P7" s="3" t="s">
        <v>712</v>
      </c>
      <c r="Q7" s="3">
        <v>20</v>
      </c>
      <c r="R7" s="3" t="s">
        <v>713</v>
      </c>
      <c r="S7" s="1" t="str">
        <v>次级秘仪</v>
      </c>
    </row>
    <row r="8" ht="18" customHeight="1" spans="1:20">
      <c r="A8" s="2">
        <v>7</v>
      </c>
      <c r="B8" s="2" t="s">
        <v>697</v>
      </c>
      <c r="C8" s="2">
        <v>6</v>
      </c>
      <c r="D8" s="3">
        <v>36</v>
      </c>
      <c r="E8" s="3">
        <v>72</v>
      </c>
      <c r="F8" s="3">
        <v>144</v>
      </c>
      <c r="G8" s="3" t="s">
        <v>714</v>
      </c>
      <c r="H8" s="3">
        <v>6</v>
      </c>
      <c r="I8" s="3">
        <v>6</v>
      </c>
      <c r="J8" s="3">
        <v>12</v>
      </c>
      <c r="K8" s="3">
        <v>18</v>
      </c>
      <c r="L8" s="3">
        <f t="shared" si="0"/>
        <v>36</v>
      </c>
      <c r="M8" s="3" t="s">
        <v>715</v>
      </c>
      <c r="N8" s="3" t="s">
        <v>716</v>
      </c>
      <c r="O8" s="3" t="s">
        <v>717</v>
      </c>
      <c r="P8" s="3" t="s">
        <v>718</v>
      </c>
      <c r="Q8" s="3">
        <v>30</v>
      </c>
      <c r="R8" s="3" t="s">
        <v>719</v>
      </c>
      <c r="S8" s="1" t="str">
        <v>高阶秘仪</v>
      </c>
    </row>
    <row r="9" ht="18" customHeight="1" spans="1:20">
      <c r="A9" s="2">
        <v>8</v>
      </c>
      <c r="B9" s="2" t="s">
        <v>720</v>
      </c>
      <c r="C9" s="2">
        <v>7</v>
      </c>
      <c r="D9" s="3">
        <v>45</v>
      </c>
      <c r="E9" s="3">
        <v>90</v>
      </c>
      <c r="F9" s="3">
        <v>180</v>
      </c>
      <c r="G9" s="3" t="s">
        <v>232</v>
      </c>
      <c r="H9" s="3">
        <v>7</v>
      </c>
      <c r="I9" s="3">
        <v>7</v>
      </c>
      <c r="J9" s="3">
        <v>14</v>
      </c>
      <c r="K9" s="3">
        <v>21</v>
      </c>
      <c r="L9" s="3">
        <f t="shared" si="0"/>
        <v>42</v>
      </c>
      <c r="M9" s="3" t="s">
        <v>721</v>
      </c>
      <c r="N9" s="3" t="s">
        <v>722</v>
      </c>
      <c r="O9" s="3" t="s">
        <v>723</v>
      </c>
      <c r="R9" s="3" t="s">
        <v>724</v>
      </c>
      <c r="S9" s="1" t="str">
        <v>其他灵能</v>
      </c>
    </row>
    <row r="10" ht="18" customHeight="1" spans="1:20">
      <c r="A10" s="2">
        <v>9</v>
      </c>
      <c r="B10" s="2" t="s">
        <v>725</v>
      </c>
      <c r="C10" s="2">
        <v>8</v>
      </c>
      <c r="D10" s="3">
        <v>56</v>
      </c>
      <c r="E10" s="3">
        <v>112</v>
      </c>
      <c r="F10" s="3">
        <v>224</v>
      </c>
      <c r="G10" s="3" t="s">
        <v>726</v>
      </c>
      <c r="H10" s="3">
        <v>8</v>
      </c>
      <c r="I10" s="3">
        <v>8</v>
      </c>
      <c r="J10" s="3">
        <v>16</v>
      </c>
      <c r="K10" s="3">
        <v>24</v>
      </c>
      <c r="L10" s="3">
        <f t="shared" si="0"/>
        <v>48</v>
      </c>
      <c r="M10" s="3" t="s">
        <v>727</v>
      </c>
      <c r="N10" s="3" t="s">
        <v>728</v>
      </c>
      <c r="O10" s="3" t="s">
        <v>729</v>
      </c>
      <c r="R10" s="3" t="s">
        <v>730</v>
      </c>
    </row>
    <row r="11" ht="18" customHeight="1" spans="1:20">
      <c r="A11" s="2">
        <v>10</v>
      </c>
      <c r="B11" s="2" t="s">
        <v>725</v>
      </c>
      <c r="C11" s="2">
        <v>9</v>
      </c>
      <c r="D11" s="3">
        <v>67</v>
      </c>
      <c r="E11" s="3">
        <v>134</v>
      </c>
      <c r="F11" s="3">
        <v>268</v>
      </c>
      <c r="H11" s="3">
        <v>9</v>
      </c>
      <c r="I11" s="3">
        <v>9</v>
      </c>
      <c r="J11" s="3">
        <v>18</v>
      </c>
      <c r="K11" s="3">
        <v>27</v>
      </c>
      <c r="L11" s="3">
        <f t="shared" si="0"/>
        <v>54</v>
      </c>
      <c r="M11" s="3" t="s">
        <v>731</v>
      </c>
      <c r="N11" s="3" t="s">
        <v>732</v>
      </c>
      <c r="O11" s="3" t="s">
        <v>733</v>
      </c>
      <c r="R11" s="3" t="s">
        <v>734</v>
      </c>
    </row>
    <row r="12" ht="18" customHeight="1" spans="1:20">
      <c r="A12" s="2">
        <v>11</v>
      </c>
      <c r="B12" s="2" t="s">
        <v>725</v>
      </c>
      <c r="C12" s="2">
        <v>10</v>
      </c>
      <c r="D12" s="3">
        <v>78</v>
      </c>
      <c r="E12" s="3">
        <v>156</v>
      </c>
      <c r="F12" s="3">
        <v>312</v>
      </c>
      <c r="H12" s="3">
        <v>10</v>
      </c>
      <c r="I12" s="3">
        <v>10</v>
      </c>
      <c r="J12" s="3">
        <v>20</v>
      </c>
      <c r="K12" s="3">
        <v>30</v>
      </c>
      <c r="L12" s="3">
        <f t="shared" si="0"/>
        <v>60</v>
      </c>
      <c r="M12" s="3" t="s">
        <v>735</v>
      </c>
      <c r="N12" s="3" t="s">
        <v>736</v>
      </c>
      <c r="O12" s="3" t="s">
        <v>737</v>
      </c>
      <c r="R12" s="3" t="s">
        <v>738</v>
      </c>
    </row>
    <row r="13" ht="18" customHeight="1" spans="1:20">
      <c r="A13" s="2">
        <v>12</v>
      </c>
      <c r="B13" s="2" t="s">
        <v>739</v>
      </c>
      <c r="C13" s="2">
        <v>11</v>
      </c>
      <c r="D13" s="3">
        <v>90</v>
      </c>
      <c r="E13" s="3">
        <v>180</v>
      </c>
      <c r="F13" s="3">
        <v>360</v>
      </c>
      <c r="R13" s="3" t="s">
        <v>740</v>
      </c>
    </row>
    <row r="14" ht="18" customHeight="1" spans="1:20">
      <c r="A14" s="2">
        <v>13</v>
      </c>
      <c r="B14" s="2" t="s">
        <v>739</v>
      </c>
      <c r="C14" s="2">
        <v>12</v>
      </c>
      <c r="D14" s="3">
        <v>112</v>
      </c>
      <c r="E14" s="3">
        <v>224</v>
      </c>
      <c r="F14" s="3">
        <v>448</v>
      </c>
      <c r="R14" s="3" t="s">
        <v>741</v>
      </c>
    </row>
    <row r="15" ht="18" customHeight="1" spans="1:20">
      <c r="A15" s="2">
        <v>14</v>
      </c>
      <c r="B15" s="2" t="s">
        <v>739</v>
      </c>
      <c r="C15" s="2">
        <v>13</v>
      </c>
      <c r="D15" s="3">
        <v>225</v>
      </c>
      <c r="E15" s="3">
        <v>450</v>
      </c>
      <c r="F15" s="3">
        <v>900</v>
      </c>
      <c r="R15" s="3" t="s">
        <v>742</v>
      </c>
    </row>
    <row r="16" ht="18" customHeight="1" spans="1:20">
      <c r="A16" s="2">
        <v>15</v>
      </c>
      <c r="B16" s="2" t="s">
        <v>739</v>
      </c>
      <c r="C16" s="2">
        <v>14</v>
      </c>
      <c r="D16" s="3">
        <v>337</v>
      </c>
      <c r="E16" s="3">
        <v>674</v>
      </c>
      <c r="F16" s="3">
        <v>1348</v>
      </c>
      <c r="R16" s="3" t="s">
        <v>743</v>
      </c>
    </row>
    <row r="17" ht="18" customHeight="1" spans="1:18">
      <c r="A17" s="2">
        <v>16</v>
      </c>
      <c r="B17" s="2" t="s">
        <v>744</v>
      </c>
      <c r="C17" s="2">
        <v>15</v>
      </c>
      <c r="D17" s="3">
        <v>450</v>
      </c>
      <c r="E17" s="3">
        <v>900</v>
      </c>
      <c r="F17" s="3">
        <v>1800</v>
      </c>
      <c r="R17" s="3" t="s">
        <v>745</v>
      </c>
    </row>
    <row r="18" ht="18" customHeight="1" spans="1:18">
      <c r="A18" s="2">
        <v>17</v>
      </c>
      <c r="B18" s="2" t="s">
        <v>744</v>
      </c>
      <c r="C18" s="2">
        <v>16</v>
      </c>
      <c r="D18" s="3">
        <v>675</v>
      </c>
      <c r="E18" s="3">
        <v>1350</v>
      </c>
      <c r="F18" s="3">
        <v>2700</v>
      </c>
      <c r="R18" s="3" t="s">
        <v>746</v>
      </c>
    </row>
    <row r="19" ht="18" customHeight="1" spans="1:18">
      <c r="A19" s="2">
        <v>18</v>
      </c>
      <c r="B19" s="2" t="s">
        <v>744</v>
      </c>
      <c r="C19" s="2">
        <v>17</v>
      </c>
      <c r="D19" s="3">
        <v>900</v>
      </c>
      <c r="E19" s="3">
        <v>1800</v>
      </c>
      <c r="F19" s="3">
        <v>3600</v>
      </c>
      <c r="R19" s="3" t="s">
        <v>747</v>
      </c>
    </row>
    <row r="20" ht="18" customHeight="1" spans="1:18">
      <c r="A20" s="2">
        <v>19</v>
      </c>
      <c r="B20" s="2" t="s">
        <v>748</v>
      </c>
      <c r="C20" s="2">
        <v>18</v>
      </c>
      <c r="D20" s="3">
        <v>1350</v>
      </c>
      <c r="E20" s="3">
        <v>2700</v>
      </c>
      <c r="F20" s="3">
        <v>5400</v>
      </c>
      <c r="R20" s="3" t="s">
        <v>749</v>
      </c>
    </row>
    <row r="21" ht="18" customHeight="1" spans="1:18">
      <c r="A21" s="2">
        <v>20</v>
      </c>
      <c r="B21" s="2" t="s">
        <v>748</v>
      </c>
      <c r="C21" s="2">
        <v>19</v>
      </c>
      <c r="D21" s="3">
        <v>1800</v>
      </c>
      <c r="E21" s="3">
        <v>3600</v>
      </c>
      <c r="F21" s="3">
        <v>7200</v>
      </c>
      <c r="R21" s="3" t="s">
        <v>750</v>
      </c>
    </row>
    <row r="22" ht="18" customHeight="1" spans="1:18">
      <c r="A22" s="2">
        <v>21</v>
      </c>
      <c r="B22" s="2" t="s">
        <v>748</v>
      </c>
      <c r="C22" s="2">
        <v>20</v>
      </c>
      <c r="D22" s="3">
        <v>2250</v>
      </c>
      <c r="E22" s="3">
        <v>4500</v>
      </c>
      <c r="F22" s="3">
        <v>9000</v>
      </c>
      <c r="R22" s="3" t="s">
        <v>751</v>
      </c>
    </row>
    <row r="23" ht="18" customHeight="1" spans="1:18">
      <c r="A23" s="2">
        <v>22</v>
      </c>
      <c r="B23" s="2" t="s">
        <v>752</v>
      </c>
      <c r="R23" s="3" t="s">
        <v>753</v>
      </c>
    </row>
    <row r="24" ht="18" customHeight="1" spans="1:18">
      <c r="A24" s="2">
        <v>23</v>
      </c>
      <c r="B24" s="2" t="s">
        <v>752</v>
      </c>
    </row>
    <row r="25" ht="18" customHeight="1" spans="1:18">
      <c r="A25" s="2">
        <v>24</v>
      </c>
      <c r="B25" s="2" t="s">
        <v>752</v>
      </c>
    </row>
    <row r="26" ht="18" customHeight="1" spans="1:18">
      <c r="A26" s="2">
        <v>25</v>
      </c>
      <c r="B26" s="2" t="s">
        <v>752</v>
      </c>
    </row>
    <row r="27" ht="18" customHeight="1" spans="1:18">
      <c r="A27" s="2">
        <v>26</v>
      </c>
      <c r="B27" s="2" t="s">
        <v>752</v>
      </c>
    </row>
    <row r="28" ht="18" customHeight="1" spans="1:18">
      <c r="A28" s="2">
        <v>27</v>
      </c>
      <c r="B28" s="2" t="s">
        <v>754</v>
      </c>
    </row>
    <row r="29" ht="18" customHeight="1" spans="1:18">
      <c r="A29" s="2">
        <v>28</v>
      </c>
      <c r="B29" s="2" t="s">
        <v>754</v>
      </c>
    </row>
    <row r="30" ht="18" customHeight="1" spans="1:18">
      <c r="A30" s="2">
        <v>29</v>
      </c>
      <c r="B30" s="2" t="s">
        <v>754</v>
      </c>
    </row>
    <row r="31" ht="18" customHeight="1" spans="1:18">
      <c r="A31" s="2">
        <v>30</v>
      </c>
      <c r="B31" s="2" t="s">
        <v>754</v>
      </c>
    </row>
    <row r="32" ht="18" customHeight="1" spans="1:18">
      <c r="A32" s="2">
        <v>31</v>
      </c>
      <c r="B32" s="2" t="s">
        <v>755</v>
      </c>
    </row>
    <row r="33" ht="18" customHeight="1" spans="1:2">
      <c r="A33" s="2">
        <v>32</v>
      </c>
      <c r="B33" s="2" t="s">
        <v>755</v>
      </c>
    </row>
    <row r="34" ht="18" customHeight="1" spans="1:2">
      <c r="A34" s="2">
        <v>33</v>
      </c>
      <c r="B34" s="2" t="s">
        <v>755</v>
      </c>
    </row>
    <row r="35" ht="18" customHeight="1" spans="1:2">
      <c r="A35" s="2">
        <v>34</v>
      </c>
      <c r="B35" s="2" t="s">
        <v>756</v>
      </c>
    </row>
    <row r="36" ht="18" customHeight="1" spans="1:2">
      <c r="A36" s="2">
        <v>35</v>
      </c>
      <c r="B36" s="2" t="s">
        <v>756</v>
      </c>
    </row>
    <row r="37" ht="18" customHeight="1" spans="1:2">
      <c r="A37" s="2">
        <v>36</v>
      </c>
      <c r="B37" s="2" t="s">
        <v>756</v>
      </c>
    </row>
    <row r="38" ht="18" customHeight="1" spans="1:2">
      <c r="A38" s="2">
        <v>37</v>
      </c>
      <c r="B38" s="2" t="s">
        <v>756</v>
      </c>
    </row>
    <row r="39" ht="18" customHeight="1" spans="1:2">
      <c r="A39" s="2">
        <v>38</v>
      </c>
      <c r="B39" s="2" t="s">
        <v>756</v>
      </c>
    </row>
    <row r="40" ht="18" customHeight="1" spans="1:2">
      <c r="A40" s="2">
        <v>39</v>
      </c>
      <c r="B40" s="2" t="s">
        <v>757</v>
      </c>
    </row>
    <row r="41" ht="18" customHeight="1" spans="1:2">
      <c r="A41" s="2">
        <v>40</v>
      </c>
      <c r="B41" s="2" t="s">
        <v>757</v>
      </c>
    </row>
    <row r="42" ht="18" customHeight="1" spans="1:2">
      <c r="A42" s="2">
        <v>41</v>
      </c>
      <c r="B42" s="2" t="s">
        <v>757</v>
      </c>
    </row>
    <row r="43" ht="18" customHeight="1" spans="1:2">
      <c r="A43" s="2">
        <v>42</v>
      </c>
      <c r="B43" s="2" t="s">
        <v>757</v>
      </c>
    </row>
    <row r="44" ht="18" customHeight="1" spans="1:2">
      <c r="A44" s="2">
        <v>43</v>
      </c>
      <c r="B44" s="2" t="s">
        <v>758</v>
      </c>
    </row>
    <row r="45" ht="18" customHeight="1" spans="1:2">
      <c r="A45" s="2">
        <v>44</v>
      </c>
      <c r="B45" s="2" t="s">
        <v>758</v>
      </c>
    </row>
    <row r="46" ht="18" customHeight="1" spans="1:2">
      <c r="A46" s="2">
        <v>45</v>
      </c>
      <c r="B46" s="2" t="s">
        <v>758</v>
      </c>
    </row>
    <row r="47" ht="18" customHeight="1" spans="1:2">
      <c r="A47" s="2">
        <v>46</v>
      </c>
      <c r="B47" s="2" t="s">
        <v>758</v>
      </c>
    </row>
    <row r="48" ht="18" customHeight="1" spans="1:2">
      <c r="A48" s="2">
        <v>47</v>
      </c>
      <c r="B48" s="2" t="s">
        <v>759</v>
      </c>
    </row>
    <row r="49" ht="18" customHeight="1" spans="1:2">
      <c r="A49" s="2">
        <v>48</v>
      </c>
      <c r="B49" s="2" t="s">
        <v>759</v>
      </c>
    </row>
    <row r="50" ht="18" customHeight="1" spans="1:2">
      <c r="A50" s="2">
        <v>49</v>
      </c>
      <c r="B50" s="2" t="s">
        <v>759</v>
      </c>
    </row>
    <row r="51" ht="18" customHeight="1" spans="1:2">
      <c r="A51" s="2">
        <v>50</v>
      </c>
      <c r="B51" s="2" t="s">
        <v>759</v>
      </c>
    </row>
    <row r="52" ht="18" customHeight="1" spans="1:2">
      <c r="A52" s="2">
        <v>51</v>
      </c>
      <c r="B52" s="2" t="s">
        <v>760</v>
      </c>
    </row>
    <row r="53" ht="18" customHeight="1" spans="1:2">
      <c r="A53" s="2">
        <v>52</v>
      </c>
      <c r="B53" s="2" t="s">
        <v>760</v>
      </c>
    </row>
    <row r="54" ht="18" customHeight="1" spans="1:2">
      <c r="A54" s="2">
        <v>53</v>
      </c>
      <c r="B54" s="2" t="s">
        <v>760</v>
      </c>
    </row>
    <row r="55" ht="18" customHeight="1" spans="1:2">
      <c r="A55" s="2">
        <v>54</v>
      </c>
      <c r="B55" s="2" t="s">
        <v>760</v>
      </c>
    </row>
    <row r="56" ht="18" customHeight="1" spans="1:2">
      <c r="A56" s="2">
        <v>55</v>
      </c>
      <c r="B56" s="2" t="s">
        <v>761</v>
      </c>
    </row>
    <row r="57" ht="18" customHeight="1" spans="1:2">
      <c r="A57" s="2">
        <v>56</v>
      </c>
      <c r="B57" s="2" t="s">
        <v>761</v>
      </c>
    </row>
    <row r="58" ht="18" customHeight="1" spans="1:2">
      <c r="A58" s="2">
        <v>57</v>
      </c>
      <c r="B58" s="2" t="s">
        <v>761</v>
      </c>
    </row>
    <row r="59" ht="18" customHeight="1" spans="1:2">
      <c r="A59" s="2">
        <v>58</v>
      </c>
      <c r="B59" s="2" t="s">
        <v>761</v>
      </c>
    </row>
    <row r="60" ht="18" customHeight="1" spans="1:2">
      <c r="A60" s="2">
        <v>59</v>
      </c>
      <c r="B60" s="2" t="s">
        <v>762</v>
      </c>
    </row>
    <row r="61" ht="18" customHeight="1" spans="1:2">
      <c r="A61" s="2">
        <v>60</v>
      </c>
      <c r="B61" s="2" t="s">
        <v>762</v>
      </c>
    </row>
    <row r="62" ht="18" customHeight="1" spans="1:2">
      <c r="A62" s="2">
        <v>61</v>
      </c>
      <c r="B62" s="2" t="s">
        <v>762</v>
      </c>
    </row>
    <row r="63" ht="18" customHeight="1" spans="1:2">
      <c r="A63" s="2">
        <v>62</v>
      </c>
      <c r="B63" s="2" t="s">
        <v>762</v>
      </c>
    </row>
    <row r="64" ht="18" customHeight="1" spans="1:2">
      <c r="A64" s="2">
        <v>63</v>
      </c>
      <c r="B64" s="2" t="s">
        <v>763</v>
      </c>
    </row>
    <row r="65" ht="18" customHeight="1" spans="1:2">
      <c r="A65" s="2">
        <v>64</v>
      </c>
      <c r="B65" s="2" t="s">
        <v>763</v>
      </c>
    </row>
    <row r="66" ht="18" customHeight="1" spans="1:2">
      <c r="A66" s="2">
        <v>65</v>
      </c>
      <c r="B66" s="2" t="s">
        <v>763</v>
      </c>
    </row>
    <row r="67" ht="18" customHeight="1" spans="1:2">
      <c r="A67" s="2">
        <v>66</v>
      </c>
      <c r="B67" s="2" t="s">
        <v>763</v>
      </c>
    </row>
    <row r="68" ht="18" customHeight="1" spans="1:2">
      <c r="A68" s="2">
        <v>67</v>
      </c>
      <c r="B68" s="2" t="s">
        <v>764</v>
      </c>
    </row>
    <row r="69" ht="18" customHeight="1" spans="1:2">
      <c r="A69" s="2">
        <v>68</v>
      </c>
      <c r="B69" s="2" t="s">
        <v>764</v>
      </c>
    </row>
    <row r="70" ht="18" customHeight="1" spans="1:2">
      <c r="A70" s="2">
        <v>69</v>
      </c>
      <c r="B70" s="2" t="s">
        <v>764</v>
      </c>
    </row>
    <row r="71" ht="18" customHeight="1" spans="1:2">
      <c r="A71" s="2">
        <v>70</v>
      </c>
      <c r="B71" s="2" t="s">
        <v>764</v>
      </c>
    </row>
    <row r="72" ht="18" customHeight="1" spans="1:2">
      <c r="A72" s="2">
        <v>71</v>
      </c>
      <c r="B72" s="2" t="s">
        <v>765</v>
      </c>
    </row>
    <row r="73" ht="18" customHeight="1" spans="1:2">
      <c r="A73" s="2">
        <v>72</v>
      </c>
      <c r="B73" s="2" t="s">
        <v>765</v>
      </c>
    </row>
    <row r="74" ht="18" customHeight="1" spans="1:2">
      <c r="A74" s="2">
        <v>73</v>
      </c>
      <c r="B74" s="2" t="s">
        <v>765</v>
      </c>
    </row>
    <row r="75" ht="18" customHeight="1" spans="1:2">
      <c r="A75" s="2">
        <v>74</v>
      </c>
      <c r="B75" s="2" t="s">
        <v>765</v>
      </c>
    </row>
    <row r="76" ht="18" customHeight="1" spans="1:2">
      <c r="A76" s="2">
        <v>75</v>
      </c>
      <c r="B76" s="2" t="s">
        <v>766</v>
      </c>
    </row>
    <row r="77" ht="18" customHeight="1" spans="1:2">
      <c r="A77" s="2">
        <v>76</v>
      </c>
      <c r="B77" s="2" t="s">
        <v>766</v>
      </c>
    </row>
    <row r="78" ht="18" customHeight="1" spans="1:2">
      <c r="A78" s="2">
        <v>77</v>
      </c>
      <c r="B78" s="2" t="s">
        <v>766</v>
      </c>
    </row>
    <row r="79" ht="18" customHeight="1" spans="1:2">
      <c r="A79" s="2">
        <v>78</v>
      </c>
      <c r="B79" s="2" t="s">
        <v>766</v>
      </c>
    </row>
    <row r="80" ht="18" customHeight="1" spans="1:2">
      <c r="A80" s="2">
        <v>79</v>
      </c>
      <c r="B80" s="2" t="s">
        <v>766</v>
      </c>
    </row>
    <row r="81" ht="18" customHeight="1" spans="1:2">
      <c r="A81" s="2">
        <v>80</v>
      </c>
      <c r="B81" s="2" t="s">
        <v>767</v>
      </c>
    </row>
    <row r="82" ht="18" customHeight="1" spans="1:2">
      <c r="A82" s="2">
        <v>81</v>
      </c>
      <c r="B82" s="2" t="s">
        <v>767</v>
      </c>
    </row>
    <row r="83" ht="18" customHeight="1" spans="1:2">
      <c r="A83" s="2">
        <v>82</v>
      </c>
      <c r="B83" s="2" t="s">
        <v>767</v>
      </c>
    </row>
    <row r="84" ht="18" customHeight="1" spans="1:2">
      <c r="A84" s="2">
        <v>83</v>
      </c>
      <c r="B84" s="2" t="s">
        <v>767</v>
      </c>
    </row>
    <row r="85" ht="18" customHeight="1" spans="1:2">
      <c r="A85" s="2">
        <v>84</v>
      </c>
      <c r="B85" s="2" t="s">
        <v>767</v>
      </c>
    </row>
    <row r="86" ht="18" customHeight="1" spans="1:2">
      <c r="A86" s="2">
        <v>85</v>
      </c>
      <c r="B86" s="2" t="s">
        <v>767</v>
      </c>
    </row>
    <row r="87" ht="18" customHeight="1" spans="1:2">
      <c r="A87" s="2">
        <v>86</v>
      </c>
      <c r="B87" s="2" t="s">
        <v>768</v>
      </c>
    </row>
    <row r="88" ht="18" customHeight="1" spans="1:2">
      <c r="A88" s="2">
        <v>87</v>
      </c>
      <c r="B88" s="2" t="s">
        <v>768</v>
      </c>
    </row>
    <row r="89" ht="18" customHeight="1" spans="1:2">
      <c r="A89" s="2">
        <v>88</v>
      </c>
      <c r="B89" s="2" t="s">
        <v>768</v>
      </c>
    </row>
    <row r="90" ht="18" customHeight="1" spans="1:2">
      <c r="A90" s="2">
        <v>89</v>
      </c>
      <c r="B90" s="2" t="s">
        <v>768</v>
      </c>
    </row>
    <row r="91" ht="18" customHeight="1" spans="1:2">
      <c r="A91" s="2">
        <v>90</v>
      </c>
      <c r="B91" s="2" t="s">
        <v>768</v>
      </c>
    </row>
    <row r="92" ht="18" customHeight="1" spans="1:2">
      <c r="A92" s="2">
        <v>91</v>
      </c>
      <c r="B92" s="2" t="s">
        <v>769</v>
      </c>
    </row>
    <row r="93" ht="18" customHeight="1" spans="1:2">
      <c r="A93" s="2">
        <v>92</v>
      </c>
      <c r="B93" s="2" t="s">
        <v>769</v>
      </c>
    </row>
    <row r="94" ht="18" customHeight="1" spans="1:2">
      <c r="A94" s="2">
        <v>93</v>
      </c>
      <c r="B94" s="2" t="s">
        <v>769</v>
      </c>
    </row>
    <row r="95" ht="18" customHeight="1" spans="1:2">
      <c r="A95" s="2">
        <v>94</v>
      </c>
      <c r="B95" s="2" t="s">
        <v>769</v>
      </c>
    </row>
    <row r="96" ht="18" customHeight="1" spans="1:2">
      <c r="A96" s="2">
        <v>95</v>
      </c>
      <c r="B96" s="2" t="s">
        <v>770</v>
      </c>
    </row>
    <row r="97" ht="18" customHeight="1" spans="1:2">
      <c r="A97" s="2">
        <v>96</v>
      </c>
      <c r="B97" s="2" t="s">
        <v>770</v>
      </c>
    </row>
    <row r="98" ht="18" customHeight="1" spans="1:2">
      <c r="A98" s="2">
        <v>97</v>
      </c>
      <c r="B98" s="2" t="s">
        <v>770</v>
      </c>
    </row>
    <row r="99" ht="18" customHeight="1" spans="1:2">
      <c r="A99" s="2">
        <v>98</v>
      </c>
      <c r="B99" s="2" t="s">
        <v>771</v>
      </c>
    </row>
    <row r="100" ht="18" customHeight="1" spans="1:2">
      <c r="A100" s="2">
        <v>99</v>
      </c>
      <c r="B100" s="2" t="s">
        <v>771</v>
      </c>
    </row>
    <row r="101" ht="18" customHeight="1" spans="1:2">
      <c r="A101" s="2">
        <v>100</v>
      </c>
      <c r="B101" s="2" t="s">
        <v>772</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dcterms:created xsi:type="dcterms:W3CDTF">2026-01-28T09:26:00Z</dcterms:created>
  <dcterms:modified xsi:type="dcterms:W3CDTF">2026-07-11T04:46:29Z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4FD34647963F42BC8060B60E61AEAD76_13</vt:lpwstr>
  </property>
  <property fmtid="{D5CDD505-2E9C-101B-9397-08002B2CF9AE}" pid="4" name="KSOProductBuildVer">
    <vt:lpwstr>2052-12.1.0.26895</vt:lpwstr>
  </property>
  <property fmtid="{D5CDD505-2E9C-101B-9397-08002B2CF9AE}" pid="5" name="KSOReadingLayout">
    <vt:bool>false</vt:bool>
  </property>
</Properties>
</file>